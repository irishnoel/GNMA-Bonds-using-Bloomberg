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ThisWorkbook" defaultThemeVersion="124226"/>
  <bookViews>
    <workbookView xWindow="-15" yWindow="6315" windowWidth="28830" windowHeight="6135" tabRatio="749"/>
  </bookViews>
  <sheets>
    <sheet name="Splash _Sheet" sheetId="1298" r:id="rId1"/>
    <sheet name="ISINS_&amp;_SWAPS" sheetId="20" r:id="rId2"/>
    <sheet name="working" sheetId="2656" r:id="rId3"/>
    <sheet name="Analysis - ignore" sheetId="1124" r:id="rId4"/>
  </sheets>
  <functionGroups builtInGroupCount="17"/>
  <externalReferences>
    <externalReference r:id="rId5"/>
  </externalReferences>
  <definedNames>
    <definedName name="_xlnm._FilterDatabase" localSheetId="3" hidden="1">'Analysis - ignore'!$A$5:$T$208</definedName>
    <definedName name="_xlnm._FilterDatabase" localSheetId="1" hidden="1">'ISINS_&amp;_SWAPS'!$C$8:$Y$25</definedName>
    <definedName name="BOND_CPR_Table">'Splash _Sheet'!$B$38:$D$42</definedName>
    <definedName name="GNMA_Trade_List">'Splash _Sheet'!$J$38:$N$50</definedName>
    <definedName name="_xlnm.Print_Area" localSheetId="1">'ISINS_&amp;_SWAPS'!$C$6:$I$12</definedName>
    <definedName name="today_text">'Splash _Sheet'!$B$2</definedName>
  </definedNames>
  <calcPr calcId="145621"/>
</workbook>
</file>

<file path=xl/calcChain.xml><?xml version="1.0" encoding="utf-8"?>
<calcChain xmlns="http://schemas.openxmlformats.org/spreadsheetml/2006/main">
  <c r="U10" i="20" l="1"/>
  <c r="T25" i="20"/>
  <c r="R24" i="20"/>
  <c r="P23" i="20"/>
  <c r="T21" i="20"/>
  <c r="R20" i="20"/>
  <c r="P19" i="20"/>
  <c r="P21" i="20"/>
  <c r="T20" i="20"/>
  <c r="O22" i="20"/>
  <c r="S25" i="20"/>
  <c r="Q24" i="20"/>
  <c r="O23" i="20"/>
  <c r="S21" i="20"/>
  <c r="Q20" i="20"/>
  <c r="O19" i="20"/>
  <c r="R22" i="20"/>
  <c r="R19" i="20"/>
  <c r="Q19" i="20"/>
  <c r="R25" i="20"/>
  <c r="P24" i="20"/>
  <c r="T22" i="20"/>
  <c r="R21" i="20"/>
  <c r="P20" i="20"/>
  <c r="T23" i="20"/>
  <c r="P22" i="20"/>
  <c r="S20" i="20"/>
  <c r="Q25" i="20"/>
  <c r="O24" i="20"/>
  <c r="S22" i="20"/>
  <c r="Q21" i="20"/>
  <c r="O20" i="20"/>
  <c r="P25" i="20"/>
  <c r="T19" i="20"/>
  <c r="S24" i="20"/>
  <c r="O25" i="20"/>
  <c r="S23" i="20"/>
  <c r="Q22" i="20"/>
  <c r="O21" i="20"/>
  <c r="S19" i="20"/>
  <c r="T24" i="20"/>
  <c r="R23" i="20"/>
  <c r="Q23" i="20"/>
  <c r="H23" i="20"/>
  <c r="H21" i="20"/>
  <c r="H20" i="20"/>
  <c r="H24" i="20"/>
  <c r="H25" i="20"/>
  <c r="H22" i="20"/>
  <c r="H19" i="20"/>
  <c r="H10" i="20"/>
  <c r="H9" i="20"/>
  <c r="I9" i="20"/>
  <c r="J9" i="20"/>
  <c r="L9" i="20"/>
  <c r="M9" i="20"/>
  <c r="O9" i="20"/>
  <c r="P9" i="20"/>
  <c r="Q9" i="20"/>
  <c r="R9" i="20"/>
  <c r="S9" i="20"/>
  <c r="T9" i="20"/>
  <c r="U9" i="20" l="1"/>
  <c r="J19" i="20"/>
  <c r="I20" i="20"/>
  <c r="J23" i="20"/>
  <c r="J24" i="20"/>
  <c r="I19" i="20"/>
  <c r="J20" i="20"/>
  <c r="J25" i="20"/>
  <c r="I24" i="20"/>
  <c r="J22" i="20"/>
  <c r="I21" i="20"/>
  <c r="I23" i="20"/>
  <c r="I22" i="20"/>
  <c r="J21" i="20"/>
  <c r="I25" i="20"/>
  <c r="V10" i="20"/>
  <c r="T10" i="20"/>
  <c r="L10" i="20"/>
  <c r="P10" i="20"/>
  <c r="O10" i="20"/>
  <c r="J10" i="20"/>
  <c r="S10" i="20"/>
  <c r="I10" i="20"/>
  <c r="R10" i="20"/>
  <c r="Q10" i="20"/>
  <c r="M10" i="20"/>
  <c r="V9" i="20"/>
  <c r="W9" i="20"/>
  <c r="X9" i="20"/>
  <c r="Y9" i="20"/>
  <c r="Z9" i="20"/>
  <c r="AA9" i="20"/>
  <c r="W10" i="20"/>
  <c r="X10" i="20"/>
  <c r="Y10" i="20"/>
  <c r="Z10" i="20"/>
  <c r="AA10" i="20"/>
  <c r="H11" i="20"/>
  <c r="I11" i="20"/>
  <c r="J11" i="20"/>
  <c r="L11" i="20"/>
  <c r="M11" i="20"/>
  <c r="O11" i="20"/>
  <c r="P11" i="20"/>
  <c r="Q11" i="20"/>
  <c r="R11" i="20"/>
  <c r="S11" i="20"/>
  <c r="T11" i="20"/>
  <c r="V11" i="20"/>
  <c r="W11" i="20"/>
  <c r="X11" i="20"/>
  <c r="Y11" i="20"/>
  <c r="Z11" i="20"/>
  <c r="AA11" i="20"/>
  <c r="H12" i="20"/>
  <c r="I12" i="20"/>
  <c r="J12" i="20"/>
  <c r="L12" i="20"/>
  <c r="M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H18" i="20"/>
  <c r="I18" i="20"/>
  <c r="J18" i="20"/>
  <c r="L18" i="20"/>
  <c r="M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L19" i="20"/>
  <c r="M19" i="20"/>
  <c r="U19" i="20"/>
  <c r="V19" i="20"/>
  <c r="W19" i="20"/>
  <c r="X19" i="20"/>
  <c r="Y19" i="20"/>
  <c r="Z19" i="20"/>
  <c r="AA19" i="20"/>
  <c r="L20" i="20"/>
  <c r="M20" i="20"/>
  <c r="U20" i="20"/>
  <c r="V20" i="20"/>
  <c r="W20" i="20"/>
  <c r="X20" i="20"/>
  <c r="Y20" i="20"/>
  <c r="Z20" i="20"/>
  <c r="AA20" i="20"/>
  <c r="L21" i="20"/>
  <c r="M21" i="20"/>
  <c r="U21" i="20"/>
  <c r="V21" i="20"/>
  <c r="W21" i="20"/>
  <c r="X21" i="20"/>
  <c r="Y21" i="20"/>
  <c r="Z21" i="20"/>
  <c r="AA21" i="20"/>
  <c r="L22" i="20"/>
  <c r="M22" i="20"/>
  <c r="U22" i="20"/>
  <c r="V22" i="20"/>
  <c r="W22" i="20"/>
  <c r="X22" i="20"/>
  <c r="Y22" i="20"/>
  <c r="Z22" i="20"/>
  <c r="AA22" i="20"/>
  <c r="L23" i="20"/>
  <c r="M23" i="20"/>
  <c r="U23" i="20"/>
  <c r="V23" i="20"/>
  <c r="W23" i="20"/>
  <c r="X23" i="20"/>
  <c r="Y23" i="20"/>
  <c r="Z23" i="20"/>
  <c r="AA23" i="20"/>
  <c r="L24" i="20"/>
  <c r="M24" i="20"/>
  <c r="U24" i="20"/>
  <c r="V24" i="20"/>
  <c r="W24" i="20"/>
  <c r="X24" i="20"/>
  <c r="Y24" i="20"/>
  <c r="Z24" i="20"/>
  <c r="AA24" i="20"/>
  <c r="L25" i="20"/>
  <c r="M25" i="20"/>
  <c r="U25" i="20"/>
  <c r="V25" i="20"/>
  <c r="W25" i="20"/>
  <c r="X25" i="20"/>
  <c r="Y25" i="20"/>
  <c r="Z25" i="20"/>
  <c r="AA25" i="20"/>
  <c r="N45" i="1298" l="1"/>
  <c r="C6" i="1124"/>
  <c r="L6" i="1124"/>
  <c r="O6" i="1124"/>
  <c r="P6" i="1124"/>
  <c r="R6" i="1124"/>
  <c r="T6" i="1124" s="1"/>
  <c r="C7" i="1124"/>
  <c r="L7" i="1124"/>
  <c r="O7" i="1124"/>
  <c r="P7" i="1124"/>
  <c r="R7" i="1124"/>
  <c r="T7" i="1124" s="1"/>
  <c r="C8" i="1124"/>
  <c r="L8" i="1124"/>
  <c r="O8" i="1124"/>
  <c r="P8" i="1124"/>
  <c r="R8" i="1124"/>
  <c r="T8" i="1124" s="1"/>
  <c r="C9" i="1124"/>
  <c r="L9" i="1124"/>
  <c r="O9" i="1124"/>
  <c r="P9" i="1124" s="1"/>
  <c r="R9" i="1124"/>
  <c r="T9" i="1124" s="1"/>
  <c r="C10" i="1124"/>
  <c r="L10" i="1124"/>
  <c r="O10" i="1124"/>
  <c r="P10" i="1124"/>
  <c r="R10" i="1124"/>
  <c r="T10" i="1124" s="1"/>
  <c r="C11" i="1124"/>
  <c r="L11" i="1124"/>
  <c r="O11" i="1124"/>
  <c r="P11" i="1124"/>
  <c r="R11" i="1124"/>
  <c r="T11" i="1124" s="1"/>
  <c r="C12" i="1124"/>
  <c r="L12" i="1124"/>
  <c r="O12" i="1124"/>
  <c r="P12" i="1124"/>
  <c r="R12" i="1124"/>
  <c r="T12" i="1124" s="1"/>
  <c r="C13" i="1124"/>
  <c r="L13" i="1124"/>
  <c r="O13" i="1124"/>
  <c r="P13" i="1124"/>
  <c r="R13" i="1124"/>
  <c r="T13" i="1124" s="1"/>
  <c r="C14" i="1124"/>
  <c r="L14" i="1124"/>
  <c r="O14" i="1124"/>
  <c r="P14" i="1124"/>
  <c r="R14" i="1124"/>
  <c r="T14" i="1124" s="1"/>
  <c r="C15" i="1124"/>
  <c r="L15" i="1124"/>
  <c r="O15" i="1124"/>
  <c r="P15" i="1124"/>
  <c r="R15" i="1124"/>
  <c r="T15" i="1124" s="1"/>
  <c r="C16" i="1124"/>
  <c r="L16" i="1124"/>
  <c r="O16" i="1124"/>
  <c r="P16" i="1124"/>
  <c r="R16" i="1124"/>
  <c r="T16" i="1124" s="1"/>
  <c r="C17" i="1124"/>
  <c r="L17" i="1124"/>
  <c r="O17" i="1124"/>
  <c r="P17" i="1124"/>
  <c r="R17" i="1124"/>
  <c r="T17" i="1124" s="1"/>
  <c r="C18" i="1124"/>
  <c r="L18" i="1124"/>
  <c r="O18" i="1124"/>
  <c r="P18" i="1124"/>
  <c r="R18" i="1124"/>
  <c r="T18" i="1124" s="1"/>
  <c r="C19" i="1124"/>
  <c r="L19" i="1124"/>
  <c r="O19" i="1124"/>
  <c r="P19" i="1124"/>
  <c r="R19" i="1124"/>
  <c r="T19" i="1124" s="1"/>
  <c r="C20" i="1124"/>
  <c r="L20" i="1124"/>
  <c r="O20" i="1124"/>
  <c r="P20" i="1124"/>
  <c r="R20" i="1124"/>
  <c r="T20" i="1124" s="1"/>
  <c r="C21" i="1124"/>
  <c r="L21" i="1124"/>
  <c r="O21" i="1124"/>
  <c r="P21" i="1124"/>
  <c r="R21" i="1124"/>
  <c r="T21" i="1124" s="1"/>
  <c r="C22" i="1124"/>
  <c r="L22" i="1124"/>
  <c r="O22" i="1124"/>
  <c r="P22" i="1124"/>
  <c r="R22" i="1124"/>
  <c r="T22" i="1124" s="1"/>
  <c r="C23" i="1124"/>
  <c r="L23" i="1124"/>
  <c r="O23" i="1124"/>
  <c r="P23" i="1124"/>
  <c r="R23" i="1124"/>
  <c r="T23" i="1124" s="1"/>
  <c r="C24" i="1124"/>
  <c r="L24" i="1124"/>
  <c r="O24" i="1124"/>
  <c r="P24" i="1124"/>
  <c r="R24" i="1124"/>
  <c r="T24" i="1124" s="1"/>
  <c r="C25" i="1124"/>
  <c r="L25" i="1124"/>
  <c r="O25" i="1124"/>
  <c r="P25" i="1124"/>
  <c r="R25" i="1124"/>
  <c r="T25" i="1124" s="1"/>
  <c r="C26" i="1124"/>
  <c r="L26" i="1124"/>
  <c r="O26" i="1124"/>
  <c r="P26" i="1124"/>
  <c r="R26" i="1124"/>
  <c r="T26" i="1124" s="1"/>
  <c r="C27" i="1124"/>
  <c r="L27" i="1124"/>
  <c r="O27" i="1124"/>
  <c r="P27" i="1124"/>
  <c r="R27" i="1124"/>
  <c r="T27" i="1124" s="1"/>
  <c r="C28" i="1124"/>
  <c r="L28" i="1124"/>
  <c r="O28" i="1124"/>
  <c r="P28" i="1124"/>
  <c r="R28" i="1124"/>
  <c r="T28" i="1124"/>
  <c r="C29" i="1124"/>
  <c r="L29" i="1124"/>
  <c r="O29" i="1124"/>
  <c r="P29" i="1124"/>
  <c r="R29" i="1124"/>
  <c r="T29" i="1124" s="1"/>
  <c r="C30" i="1124"/>
  <c r="L30" i="1124"/>
  <c r="O30" i="1124"/>
  <c r="P30" i="1124"/>
  <c r="R30" i="1124"/>
  <c r="T30" i="1124" s="1"/>
  <c r="C31" i="1124"/>
  <c r="L31" i="1124"/>
  <c r="O31" i="1124"/>
  <c r="P31" i="1124"/>
  <c r="R31" i="1124"/>
  <c r="T31" i="1124" s="1"/>
  <c r="C32" i="1124"/>
  <c r="L32" i="1124"/>
  <c r="O32" i="1124"/>
  <c r="P32" i="1124"/>
  <c r="R32" i="1124"/>
  <c r="T32" i="1124" s="1"/>
  <c r="C33" i="1124"/>
  <c r="L33" i="1124"/>
  <c r="O33" i="1124"/>
  <c r="P33" i="1124"/>
  <c r="R33" i="1124"/>
  <c r="T33" i="1124" s="1"/>
  <c r="C34" i="1124"/>
  <c r="L34" i="1124"/>
  <c r="O34" i="1124"/>
  <c r="P34" i="1124"/>
  <c r="R34" i="1124"/>
  <c r="T34" i="1124" s="1"/>
  <c r="C35" i="1124"/>
  <c r="L35" i="1124"/>
  <c r="O35" i="1124"/>
  <c r="P35" i="1124"/>
  <c r="R35" i="1124"/>
  <c r="T35" i="1124" s="1"/>
  <c r="C36" i="1124"/>
  <c r="L36" i="1124"/>
  <c r="O36" i="1124"/>
  <c r="P36" i="1124"/>
  <c r="R36" i="1124"/>
  <c r="T36" i="1124"/>
  <c r="C37" i="1124"/>
  <c r="L37" i="1124"/>
  <c r="O37" i="1124"/>
  <c r="P37" i="1124"/>
  <c r="R37" i="1124"/>
  <c r="T37" i="1124" s="1"/>
  <c r="C38" i="1124"/>
  <c r="L38" i="1124"/>
  <c r="O38" i="1124"/>
  <c r="P38" i="1124"/>
  <c r="R38" i="1124"/>
  <c r="T38" i="1124" s="1"/>
  <c r="C39" i="1124"/>
  <c r="L39" i="1124"/>
  <c r="O39" i="1124"/>
  <c r="P39" i="1124"/>
  <c r="R39" i="1124"/>
  <c r="T39" i="1124" s="1"/>
  <c r="C40" i="1124"/>
  <c r="L40" i="1124"/>
  <c r="O40" i="1124"/>
  <c r="P40" i="1124"/>
  <c r="R40" i="1124"/>
  <c r="T40" i="1124" s="1"/>
  <c r="C41" i="1124"/>
  <c r="L41" i="1124"/>
  <c r="O41" i="1124"/>
  <c r="P41" i="1124"/>
  <c r="R41" i="1124"/>
  <c r="T41" i="1124" s="1"/>
  <c r="C42" i="1124"/>
  <c r="L42" i="1124"/>
  <c r="O42" i="1124"/>
  <c r="P42" i="1124"/>
  <c r="R42" i="1124"/>
  <c r="T42" i="1124"/>
  <c r="C43" i="1124"/>
  <c r="L43" i="1124"/>
  <c r="O43" i="1124"/>
  <c r="P43" i="1124"/>
  <c r="R43" i="1124"/>
  <c r="T43" i="1124" s="1"/>
  <c r="C44" i="1124"/>
  <c r="L44" i="1124"/>
  <c r="O44" i="1124"/>
  <c r="P44" i="1124"/>
  <c r="R44" i="1124"/>
  <c r="T44" i="1124" s="1"/>
  <c r="C45" i="1124"/>
  <c r="L45" i="1124"/>
  <c r="O45" i="1124"/>
  <c r="P45" i="1124"/>
  <c r="R45" i="1124"/>
  <c r="T45" i="1124" s="1"/>
  <c r="C46" i="1124"/>
  <c r="L46" i="1124"/>
  <c r="O46" i="1124"/>
  <c r="P46" i="1124"/>
  <c r="R46" i="1124"/>
  <c r="T46" i="1124" s="1"/>
  <c r="C47" i="1124"/>
  <c r="L47" i="1124"/>
  <c r="O47" i="1124"/>
  <c r="P47" i="1124"/>
  <c r="R47" i="1124"/>
  <c r="T47" i="1124" s="1"/>
  <c r="C48" i="1124"/>
  <c r="L48" i="1124"/>
  <c r="O48" i="1124"/>
  <c r="P48" i="1124"/>
  <c r="R48" i="1124"/>
  <c r="T48" i="1124" s="1"/>
  <c r="C49" i="1124"/>
  <c r="L49" i="1124"/>
  <c r="O49" i="1124"/>
  <c r="P49" i="1124"/>
  <c r="R49" i="1124"/>
  <c r="T49" i="1124" s="1"/>
  <c r="C50" i="1124"/>
  <c r="L50" i="1124"/>
  <c r="O50" i="1124"/>
  <c r="P50" i="1124"/>
  <c r="R50" i="1124"/>
  <c r="T50" i="1124" s="1"/>
  <c r="C51" i="1124"/>
  <c r="L51" i="1124"/>
  <c r="O51" i="1124"/>
  <c r="P51" i="1124"/>
  <c r="R51" i="1124"/>
  <c r="T51" i="1124" s="1"/>
  <c r="C52" i="1124"/>
  <c r="L52" i="1124"/>
  <c r="O52" i="1124"/>
  <c r="P52" i="1124"/>
  <c r="R52" i="1124"/>
  <c r="T52" i="1124" s="1"/>
  <c r="C53" i="1124"/>
  <c r="L53" i="1124"/>
  <c r="O53" i="1124"/>
  <c r="P53" i="1124"/>
  <c r="R53" i="1124"/>
  <c r="T53" i="1124" s="1"/>
  <c r="C54" i="1124"/>
  <c r="L54" i="1124"/>
  <c r="O54" i="1124"/>
  <c r="P54" i="1124"/>
  <c r="R54" i="1124"/>
  <c r="T54" i="1124" s="1"/>
  <c r="C55" i="1124"/>
  <c r="L55" i="1124"/>
  <c r="O55" i="1124"/>
  <c r="P55" i="1124"/>
  <c r="R55" i="1124"/>
  <c r="T55" i="1124" s="1"/>
  <c r="C56" i="1124"/>
  <c r="L56" i="1124"/>
  <c r="O56" i="1124"/>
  <c r="P56" i="1124"/>
  <c r="R56" i="1124"/>
  <c r="T56" i="1124" s="1"/>
  <c r="C57" i="1124"/>
  <c r="L57" i="1124"/>
  <c r="O57" i="1124"/>
  <c r="P57" i="1124"/>
  <c r="R57" i="1124"/>
  <c r="T57" i="1124" s="1"/>
  <c r="C58" i="1124"/>
  <c r="L58" i="1124"/>
  <c r="O58" i="1124"/>
  <c r="P58" i="1124"/>
  <c r="R58" i="1124"/>
  <c r="T58" i="1124" s="1"/>
  <c r="C59" i="1124"/>
  <c r="L59" i="1124"/>
  <c r="O59" i="1124"/>
  <c r="P59" i="1124"/>
  <c r="R59" i="1124"/>
  <c r="T59" i="1124" s="1"/>
  <c r="C60" i="1124"/>
  <c r="L60" i="1124"/>
  <c r="O60" i="1124"/>
  <c r="P60" i="1124"/>
  <c r="R60" i="1124"/>
  <c r="T60" i="1124" s="1"/>
  <c r="C61" i="1124"/>
  <c r="L61" i="1124"/>
  <c r="O61" i="1124"/>
  <c r="P61" i="1124"/>
  <c r="R61" i="1124"/>
  <c r="T61" i="1124" s="1"/>
  <c r="C62" i="1124"/>
  <c r="L62" i="1124"/>
  <c r="O62" i="1124"/>
  <c r="P62" i="1124"/>
  <c r="R62" i="1124"/>
  <c r="T62" i="1124" s="1"/>
  <c r="C63" i="1124"/>
  <c r="L63" i="1124"/>
  <c r="O63" i="1124"/>
  <c r="P63" i="1124"/>
  <c r="R63" i="1124"/>
  <c r="T63" i="1124" s="1"/>
  <c r="C64" i="1124"/>
  <c r="L64" i="1124"/>
  <c r="O64" i="1124"/>
  <c r="P64" i="1124"/>
  <c r="R64" i="1124"/>
  <c r="T64" i="1124" s="1"/>
  <c r="C65" i="1124"/>
  <c r="L65" i="1124"/>
  <c r="O65" i="1124"/>
  <c r="P65" i="1124"/>
  <c r="R65" i="1124"/>
  <c r="T65" i="1124" s="1"/>
  <c r="C66" i="1124"/>
  <c r="L66" i="1124"/>
  <c r="O66" i="1124"/>
  <c r="P66" i="1124"/>
  <c r="R66" i="1124"/>
  <c r="T66" i="1124" s="1"/>
  <c r="C67" i="1124"/>
  <c r="L67" i="1124"/>
  <c r="O67" i="1124"/>
  <c r="P67" i="1124"/>
  <c r="R67" i="1124"/>
  <c r="T67" i="1124" s="1"/>
  <c r="C68" i="1124"/>
  <c r="L68" i="1124"/>
  <c r="O68" i="1124"/>
  <c r="P68" i="1124"/>
  <c r="R68" i="1124"/>
  <c r="T68" i="1124" s="1"/>
  <c r="C69" i="1124"/>
  <c r="L69" i="1124"/>
  <c r="O69" i="1124"/>
  <c r="P69" i="1124"/>
  <c r="R69" i="1124"/>
  <c r="T69" i="1124" s="1"/>
  <c r="C70" i="1124"/>
  <c r="L70" i="1124"/>
  <c r="O70" i="1124"/>
  <c r="P70" i="1124"/>
  <c r="R70" i="1124"/>
  <c r="T70" i="1124" s="1"/>
  <c r="C71" i="1124"/>
  <c r="L71" i="1124"/>
  <c r="O71" i="1124"/>
  <c r="P71" i="1124"/>
  <c r="R71" i="1124"/>
  <c r="T71" i="1124" s="1"/>
  <c r="C72" i="1124"/>
  <c r="L72" i="1124"/>
  <c r="O72" i="1124"/>
  <c r="P72" i="1124"/>
  <c r="R72" i="1124"/>
  <c r="T72" i="1124" s="1"/>
  <c r="C73" i="1124"/>
  <c r="L73" i="1124"/>
  <c r="O73" i="1124"/>
  <c r="P73" i="1124"/>
  <c r="R73" i="1124"/>
  <c r="T73" i="1124" s="1"/>
  <c r="C74" i="1124"/>
  <c r="L74" i="1124"/>
  <c r="O74" i="1124"/>
  <c r="P74" i="1124"/>
  <c r="R74" i="1124"/>
  <c r="T74" i="1124" s="1"/>
  <c r="C75" i="1124"/>
  <c r="L75" i="1124"/>
  <c r="O75" i="1124"/>
  <c r="P75" i="1124"/>
  <c r="R75" i="1124"/>
  <c r="T75" i="1124" s="1"/>
  <c r="C76" i="1124"/>
  <c r="L76" i="1124"/>
  <c r="O76" i="1124"/>
  <c r="P76" i="1124"/>
  <c r="R76" i="1124"/>
  <c r="T76" i="1124" s="1"/>
  <c r="C77" i="1124"/>
  <c r="L77" i="1124"/>
  <c r="O77" i="1124"/>
  <c r="P77" i="1124"/>
  <c r="R77" i="1124"/>
  <c r="T77" i="1124" s="1"/>
  <c r="C78" i="1124"/>
  <c r="L78" i="1124"/>
  <c r="O78" i="1124"/>
  <c r="P78" i="1124"/>
  <c r="R78" i="1124"/>
  <c r="T78" i="1124" s="1"/>
  <c r="C79" i="1124"/>
  <c r="L79" i="1124"/>
  <c r="O79" i="1124"/>
  <c r="P79" i="1124"/>
  <c r="R79" i="1124"/>
  <c r="T79" i="1124" s="1"/>
  <c r="C80" i="1124"/>
  <c r="L80" i="1124"/>
  <c r="O80" i="1124"/>
  <c r="P80" i="1124"/>
  <c r="R80" i="1124"/>
  <c r="T80" i="1124" s="1"/>
  <c r="C81" i="1124"/>
  <c r="L81" i="1124"/>
  <c r="O81" i="1124"/>
  <c r="P81" i="1124"/>
  <c r="R81" i="1124"/>
  <c r="T81" i="1124" s="1"/>
  <c r="C82" i="1124"/>
  <c r="L82" i="1124"/>
  <c r="O82" i="1124"/>
  <c r="P82" i="1124"/>
  <c r="R82" i="1124"/>
  <c r="T82" i="1124" s="1"/>
  <c r="C83" i="1124"/>
  <c r="L83" i="1124"/>
  <c r="O83" i="1124"/>
  <c r="P83" i="1124"/>
  <c r="R83" i="1124"/>
  <c r="T83" i="1124" s="1"/>
  <c r="C84" i="1124"/>
  <c r="L84" i="1124"/>
  <c r="O84" i="1124"/>
  <c r="P84" i="1124"/>
  <c r="R84" i="1124"/>
  <c r="T84" i="1124" s="1"/>
  <c r="C85" i="1124"/>
  <c r="L85" i="1124"/>
  <c r="O85" i="1124"/>
  <c r="P85" i="1124"/>
  <c r="R85" i="1124"/>
  <c r="T85" i="1124" s="1"/>
  <c r="C86" i="1124"/>
  <c r="L86" i="1124"/>
  <c r="O86" i="1124"/>
  <c r="P86" i="1124"/>
  <c r="R86" i="1124"/>
  <c r="T86" i="1124" s="1"/>
  <c r="C87" i="1124"/>
  <c r="L87" i="1124"/>
  <c r="O87" i="1124"/>
  <c r="P87" i="1124"/>
  <c r="R87" i="1124"/>
  <c r="T87" i="1124" s="1"/>
  <c r="C88" i="1124"/>
  <c r="L88" i="1124"/>
  <c r="O88" i="1124"/>
  <c r="P88" i="1124"/>
  <c r="R88" i="1124"/>
  <c r="T88" i="1124" s="1"/>
  <c r="C89" i="1124"/>
  <c r="L89" i="1124"/>
  <c r="O89" i="1124"/>
  <c r="P89" i="1124"/>
  <c r="R89" i="1124"/>
  <c r="T89" i="1124" s="1"/>
  <c r="C90" i="1124"/>
  <c r="L90" i="1124"/>
  <c r="O90" i="1124"/>
  <c r="P90" i="1124"/>
  <c r="R90" i="1124"/>
  <c r="T90" i="1124" s="1"/>
  <c r="C91" i="1124"/>
  <c r="L91" i="1124"/>
  <c r="O91" i="1124"/>
  <c r="P91" i="1124"/>
  <c r="R91" i="1124"/>
  <c r="T91" i="1124" s="1"/>
  <c r="C92" i="1124"/>
  <c r="L92" i="1124"/>
  <c r="O92" i="1124"/>
  <c r="P92" i="1124"/>
  <c r="R92" i="1124"/>
  <c r="T92" i="1124" s="1"/>
  <c r="C93" i="1124"/>
  <c r="L93" i="1124"/>
  <c r="O93" i="1124"/>
  <c r="P93" i="1124"/>
  <c r="R93" i="1124"/>
  <c r="T93" i="1124" s="1"/>
  <c r="C94" i="1124"/>
  <c r="L94" i="1124"/>
  <c r="O94" i="1124"/>
  <c r="P94" i="1124"/>
  <c r="R94" i="1124"/>
  <c r="T94" i="1124" s="1"/>
  <c r="C95" i="1124"/>
  <c r="L95" i="1124"/>
  <c r="O95" i="1124"/>
  <c r="P95" i="1124"/>
  <c r="R95" i="1124"/>
  <c r="T95" i="1124" s="1"/>
  <c r="C96" i="1124"/>
  <c r="L96" i="1124"/>
  <c r="O96" i="1124"/>
  <c r="P96" i="1124"/>
  <c r="R96" i="1124"/>
  <c r="T96" i="1124" s="1"/>
  <c r="C97" i="1124"/>
  <c r="L97" i="1124"/>
  <c r="O97" i="1124"/>
  <c r="P97" i="1124"/>
  <c r="R97" i="1124"/>
  <c r="T97" i="1124" s="1"/>
  <c r="C98" i="1124"/>
  <c r="L98" i="1124"/>
  <c r="O98" i="1124"/>
  <c r="P98" i="1124" s="1"/>
  <c r="R98" i="1124"/>
  <c r="T98" i="1124" s="1"/>
  <c r="C99" i="1124"/>
  <c r="L99" i="1124"/>
  <c r="O99" i="1124"/>
  <c r="P99" i="1124"/>
  <c r="R99" i="1124"/>
  <c r="T99" i="1124" s="1"/>
  <c r="C100" i="1124"/>
  <c r="L100" i="1124"/>
  <c r="O100" i="1124"/>
  <c r="P100" i="1124"/>
  <c r="R100" i="1124"/>
  <c r="T100" i="1124" s="1"/>
  <c r="C101" i="1124"/>
  <c r="L101" i="1124"/>
  <c r="O101" i="1124"/>
  <c r="P101" i="1124"/>
  <c r="R101" i="1124"/>
  <c r="T101" i="1124" s="1"/>
  <c r="C102" i="1124"/>
  <c r="L102" i="1124"/>
  <c r="O102" i="1124"/>
  <c r="P102" i="1124"/>
  <c r="R102" i="1124"/>
  <c r="T102" i="1124" s="1"/>
  <c r="C103" i="1124"/>
  <c r="L103" i="1124"/>
  <c r="O103" i="1124"/>
  <c r="P103" i="1124"/>
  <c r="R103" i="1124"/>
  <c r="T103" i="1124" s="1"/>
  <c r="C104" i="1124"/>
  <c r="L104" i="1124"/>
  <c r="O104" i="1124"/>
  <c r="P104" i="1124"/>
  <c r="R104" i="1124"/>
  <c r="T104" i="1124" s="1"/>
  <c r="C105" i="1124"/>
  <c r="L105" i="1124"/>
  <c r="O105" i="1124"/>
  <c r="P105" i="1124"/>
  <c r="R105" i="1124"/>
  <c r="T105" i="1124" s="1"/>
  <c r="C106" i="1124"/>
  <c r="L106" i="1124"/>
  <c r="O106" i="1124"/>
  <c r="P106" i="1124"/>
  <c r="R106" i="1124"/>
  <c r="T106" i="1124" s="1"/>
  <c r="C107" i="1124"/>
  <c r="L107" i="1124"/>
  <c r="O107" i="1124"/>
  <c r="P107" i="1124"/>
  <c r="R107" i="1124"/>
  <c r="T107" i="1124" s="1"/>
  <c r="C108" i="1124"/>
  <c r="L108" i="1124"/>
  <c r="O108" i="1124"/>
  <c r="P108" i="1124"/>
  <c r="R108" i="1124"/>
  <c r="T108" i="1124" s="1"/>
  <c r="C109" i="1124"/>
  <c r="L109" i="1124"/>
  <c r="O109" i="1124"/>
  <c r="P109" i="1124"/>
  <c r="R109" i="1124"/>
  <c r="T109" i="1124" s="1"/>
  <c r="C110" i="1124"/>
  <c r="L110" i="1124"/>
  <c r="O110" i="1124"/>
  <c r="P110" i="1124"/>
  <c r="R110" i="1124"/>
  <c r="T110" i="1124" s="1"/>
  <c r="C111" i="1124"/>
  <c r="L111" i="1124"/>
  <c r="O111" i="1124"/>
  <c r="P111" i="1124"/>
  <c r="R111" i="1124"/>
  <c r="T111" i="1124" s="1"/>
  <c r="C112" i="1124"/>
  <c r="L112" i="1124"/>
  <c r="O112" i="1124"/>
  <c r="P112" i="1124"/>
  <c r="R112" i="1124"/>
  <c r="T112" i="1124" s="1"/>
  <c r="C113" i="1124"/>
  <c r="L113" i="1124"/>
  <c r="O113" i="1124"/>
  <c r="P113" i="1124"/>
  <c r="R113" i="1124"/>
  <c r="T113" i="1124" s="1"/>
  <c r="C114" i="1124"/>
  <c r="L114" i="1124"/>
  <c r="O114" i="1124"/>
  <c r="P114" i="1124"/>
  <c r="R114" i="1124"/>
  <c r="T114" i="1124" s="1"/>
  <c r="C115" i="1124"/>
  <c r="L115" i="1124"/>
  <c r="O115" i="1124"/>
  <c r="P115" i="1124"/>
  <c r="R115" i="1124"/>
  <c r="T115" i="1124" s="1"/>
  <c r="C116" i="1124"/>
  <c r="L116" i="1124"/>
  <c r="O116" i="1124"/>
  <c r="P116" i="1124"/>
  <c r="R116" i="1124"/>
  <c r="T116" i="1124" s="1"/>
  <c r="C117" i="1124"/>
  <c r="L117" i="1124"/>
  <c r="O117" i="1124"/>
  <c r="P117" i="1124"/>
  <c r="R117" i="1124"/>
  <c r="T117" i="1124" s="1"/>
  <c r="C118" i="1124"/>
  <c r="L118" i="1124"/>
  <c r="O118" i="1124"/>
  <c r="P118" i="1124"/>
  <c r="R118" i="1124"/>
  <c r="T118" i="1124" s="1"/>
  <c r="C119" i="1124"/>
  <c r="L119" i="1124"/>
  <c r="O119" i="1124"/>
  <c r="P119" i="1124"/>
  <c r="R119" i="1124"/>
  <c r="T119" i="1124" s="1"/>
  <c r="C120" i="1124"/>
  <c r="L120" i="1124"/>
  <c r="O120" i="1124"/>
  <c r="P120" i="1124"/>
  <c r="R120" i="1124"/>
  <c r="T120" i="1124" s="1"/>
  <c r="C121" i="1124"/>
  <c r="L121" i="1124"/>
  <c r="O121" i="1124"/>
  <c r="P121" i="1124"/>
  <c r="R121" i="1124"/>
  <c r="T121" i="1124" s="1"/>
  <c r="C122" i="1124"/>
  <c r="L122" i="1124"/>
  <c r="O122" i="1124"/>
  <c r="P122" i="1124"/>
  <c r="R122" i="1124"/>
  <c r="T122" i="1124" s="1"/>
  <c r="C123" i="1124"/>
  <c r="L123" i="1124"/>
  <c r="O123" i="1124"/>
  <c r="P123" i="1124"/>
  <c r="R123" i="1124"/>
  <c r="T123" i="1124" s="1"/>
  <c r="C124" i="1124"/>
  <c r="L124" i="1124"/>
  <c r="O124" i="1124"/>
  <c r="P124" i="1124"/>
  <c r="R124" i="1124"/>
  <c r="T124" i="1124" s="1"/>
  <c r="C125" i="1124"/>
  <c r="L125" i="1124"/>
  <c r="O125" i="1124"/>
  <c r="P125" i="1124" s="1"/>
  <c r="R125" i="1124"/>
  <c r="T125" i="1124" s="1"/>
  <c r="C126" i="1124"/>
  <c r="L126" i="1124"/>
  <c r="O126" i="1124"/>
  <c r="P126" i="1124"/>
  <c r="R126" i="1124"/>
  <c r="T126" i="1124" s="1"/>
  <c r="C127" i="1124"/>
  <c r="L127" i="1124"/>
  <c r="O127" i="1124"/>
  <c r="P127" i="1124"/>
  <c r="R127" i="1124"/>
  <c r="T127" i="1124" s="1"/>
  <c r="C128" i="1124"/>
  <c r="L128" i="1124"/>
  <c r="O128" i="1124"/>
  <c r="P128" i="1124"/>
  <c r="R128" i="1124"/>
  <c r="T128" i="1124" s="1"/>
  <c r="C129" i="1124"/>
  <c r="L129" i="1124"/>
  <c r="O129" i="1124"/>
  <c r="P129" i="1124"/>
  <c r="R129" i="1124"/>
  <c r="T129" i="1124" s="1"/>
  <c r="C130" i="1124"/>
  <c r="L130" i="1124"/>
  <c r="O130" i="1124"/>
  <c r="P130" i="1124"/>
  <c r="R130" i="1124"/>
  <c r="T130" i="1124" s="1"/>
  <c r="C131" i="1124"/>
  <c r="L131" i="1124"/>
  <c r="O131" i="1124"/>
  <c r="P131" i="1124"/>
  <c r="R131" i="1124"/>
  <c r="T131" i="1124" s="1"/>
  <c r="C132" i="1124"/>
  <c r="L132" i="1124"/>
  <c r="O132" i="1124"/>
  <c r="P132" i="1124"/>
  <c r="R132" i="1124"/>
  <c r="T132" i="1124" s="1"/>
  <c r="C133" i="1124"/>
  <c r="L133" i="1124"/>
  <c r="O133" i="1124"/>
  <c r="P133" i="1124"/>
  <c r="R133" i="1124"/>
  <c r="T133" i="1124" s="1"/>
  <c r="C134" i="1124"/>
  <c r="L134" i="1124"/>
  <c r="O134" i="1124"/>
  <c r="P134" i="1124"/>
  <c r="R134" i="1124"/>
  <c r="T134" i="1124" s="1"/>
  <c r="C135" i="1124"/>
  <c r="L135" i="1124"/>
  <c r="O135" i="1124"/>
  <c r="P135" i="1124"/>
  <c r="R135" i="1124"/>
  <c r="T135" i="1124" s="1"/>
  <c r="C136" i="1124"/>
  <c r="L136" i="1124"/>
  <c r="O136" i="1124"/>
  <c r="P136" i="1124"/>
  <c r="R136" i="1124"/>
  <c r="T136" i="1124" s="1"/>
  <c r="C137" i="1124"/>
  <c r="L137" i="1124"/>
  <c r="O137" i="1124"/>
  <c r="P137" i="1124"/>
  <c r="R137" i="1124"/>
  <c r="T137" i="1124" s="1"/>
  <c r="C138" i="1124"/>
  <c r="L138" i="1124"/>
  <c r="O138" i="1124"/>
  <c r="P138" i="1124"/>
  <c r="R138" i="1124"/>
  <c r="T138" i="1124" s="1"/>
  <c r="C139" i="1124"/>
  <c r="L139" i="1124"/>
  <c r="O139" i="1124"/>
  <c r="P139" i="1124"/>
  <c r="R139" i="1124"/>
  <c r="T139" i="1124" s="1"/>
  <c r="C140" i="1124"/>
  <c r="L140" i="1124"/>
  <c r="O140" i="1124"/>
  <c r="P140" i="1124"/>
  <c r="R140" i="1124"/>
  <c r="T140" i="1124" s="1"/>
  <c r="C141" i="1124"/>
  <c r="L141" i="1124"/>
  <c r="O141" i="1124"/>
  <c r="P141" i="1124"/>
  <c r="R141" i="1124"/>
  <c r="T141" i="1124" s="1"/>
  <c r="C142" i="1124"/>
  <c r="L142" i="1124"/>
  <c r="O142" i="1124"/>
  <c r="P142" i="1124"/>
  <c r="R142" i="1124"/>
  <c r="T142" i="1124" s="1"/>
  <c r="C143" i="1124"/>
  <c r="L143" i="1124"/>
  <c r="O143" i="1124"/>
  <c r="P143" i="1124"/>
  <c r="R143" i="1124"/>
  <c r="T143" i="1124" s="1"/>
  <c r="C144" i="1124"/>
  <c r="L144" i="1124"/>
  <c r="O144" i="1124"/>
  <c r="P144" i="1124"/>
  <c r="R144" i="1124"/>
  <c r="T144" i="1124" s="1"/>
  <c r="C145" i="1124"/>
  <c r="L145" i="1124"/>
  <c r="O145" i="1124"/>
  <c r="P145" i="1124"/>
  <c r="R145" i="1124"/>
  <c r="T145" i="1124" s="1"/>
  <c r="C146" i="1124"/>
  <c r="L146" i="1124"/>
  <c r="O146" i="1124"/>
  <c r="P146" i="1124"/>
  <c r="R146" i="1124"/>
  <c r="T146" i="1124" s="1"/>
  <c r="C147" i="1124"/>
  <c r="L147" i="1124"/>
  <c r="O147" i="1124"/>
  <c r="P147" i="1124"/>
  <c r="R147" i="1124"/>
  <c r="T147" i="1124" s="1"/>
  <c r="C148" i="1124"/>
  <c r="L148" i="1124"/>
  <c r="O148" i="1124"/>
  <c r="P148" i="1124"/>
  <c r="R148" i="1124"/>
  <c r="T148" i="1124" s="1"/>
  <c r="C149" i="1124"/>
  <c r="L149" i="1124"/>
  <c r="O149" i="1124"/>
  <c r="P149" i="1124"/>
  <c r="R149" i="1124"/>
  <c r="T149" i="1124" s="1"/>
  <c r="C150" i="1124"/>
  <c r="L150" i="1124"/>
  <c r="O150" i="1124"/>
  <c r="P150" i="1124"/>
  <c r="R150" i="1124"/>
  <c r="T150" i="1124" s="1"/>
  <c r="C151" i="1124"/>
  <c r="L151" i="1124"/>
  <c r="O151" i="1124"/>
  <c r="P151" i="1124"/>
  <c r="R151" i="1124"/>
  <c r="T151" i="1124" s="1"/>
  <c r="C152" i="1124"/>
  <c r="L152" i="1124"/>
  <c r="O152" i="1124"/>
  <c r="P152" i="1124"/>
  <c r="R152" i="1124"/>
  <c r="T152" i="1124" s="1"/>
  <c r="C153" i="1124"/>
  <c r="L153" i="1124"/>
  <c r="O153" i="1124"/>
  <c r="P153" i="1124"/>
  <c r="R153" i="1124"/>
  <c r="T153" i="1124" s="1"/>
  <c r="C154" i="1124"/>
  <c r="L154" i="1124"/>
  <c r="O154" i="1124"/>
  <c r="P154" i="1124"/>
  <c r="R154" i="1124"/>
  <c r="T154" i="1124" s="1"/>
  <c r="C155" i="1124"/>
  <c r="L155" i="1124"/>
  <c r="O155" i="1124"/>
  <c r="P155" i="1124"/>
  <c r="R155" i="1124"/>
  <c r="T155" i="1124" s="1"/>
  <c r="C156" i="1124"/>
  <c r="L156" i="1124"/>
  <c r="O156" i="1124"/>
  <c r="P156" i="1124"/>
  <c r="R156" i="1124"/>
  <c r="T156" i="1124" s="1"/>
  <c r="C157" i="1124"/>
  <c r="L157" i="1124"/>
  <c r="O157" i="1124"/>
  <c r="P157" i="1124"/>
  <c r="R157" i="1124"/>
  <c r="T157" i="1124" s="1"/>
  <c r="C158" i="1124"/>
  <c r="L158" i="1124"/>
  <c r="O158" i="1124"/>
  <c r="P158" i="1124"/>
  <c r="R158" i="1124"/>
  <c r="T158" i="1124" s="1"/>
  <c r="C159" i="1124"/>
  <c r="L159" i="1124"/>
  <c r="O159" i="1124"/>
  <c r="P159" i="1124"/>
  <c r="R159" i="1124"/>
  <c r="T159" i="1124" s="1"/>
  <c r="C160" i="1124"/>
  <c r="L160" i="1124"/>
  <c r="O160" i="1124"/>
  <c r="P160" i="1124"/>
  <c r="R160" i="1124"/>
  <c r="T160" i="1124" s="1"/>
  <c r="C161" i="1124"/>
  <c r="L161" i="1124"/>
  <c r="O161" i="1124"/>
  <c r="P161" i="1124"/>
  <c r="R161" i="1124"/>
  <c r="T161" i="1124" s="1"/>
  <c r="C162" i="1124"/>
  <c r="L162" i="1124"/>
  <c r="O162" i="1124"/>
  <c r="P162" i="1124"/>
  <c r="R162" i="1124"/>
  <c r="T162" i="1124"/>
  <c r="C163" i="1124"/>
  <c r="L163" i="1124"/>
  <c r="O163" i="1124"/>
  <c r="P163" i="1124"/>
  <c r="R163" i="1124"/>
  <c r="T163" i="1124" s="1"/>
  <c r="C164" i="1124"/>
  <c r="L164" i="1124"/>
  <c r="O164" i="1124"/>
  <c r="P164" i="1124"/>
  <c r="R164" i="1124"/>
  <c r="T164" i="1124" s="1"/>
  <c r="C165" i="1124"/>
  <c r="L165" i="1124"/>
  <c r="O165" i="1124"/>
  <c r="P165" i="1124"/>
  <c r="R165" i="1124"/>
  <c r="T165" i="1124" s="1"/>
  <c r="C166" i="1124"/>
  <c r="L166" i="1124"/>
  <c r="O166" i="1124"/>
  <c r="P166" i="1124"/>
  <c r="R166" i="1124"/>
  <c r="T166" i="1124" s="1"/>
  <c r="C167" i="1124"/>
  <c r="L167" i="1124"/>
  <c r="O167" i="1124"/>
  <c r="P167" i="1124"/>
  <c r="R167" i="1124"/>
  <c r="T167" i="1124" s="1"/>
  <c r="C168" i="1124"/>
  <c r="L168" i="1124"/>
  <c r="O168" i="1124"/>
  <c r="P168" i="1124"/>
  <c r="R168" i="1124"/>
  <c r="T168" i="1124" s="1"/>
  <c r="C169" i="1124"/>
  <c r="L169" i="1124"/>
  <c r="O169" i="1124"/>
  <c r="P169" i="1124"/>
  <c r="R169" i="1124"/>
  <c r="T169" i="1124" s="1"/>
  <c r="C170" i="1124"/>
  <c r="L170" i="1124"/>
  <c r="O170" i="1124"/>
  <c r="P170" i="1124"/>
  <c r="R170" i="1124"/>
  <c r="T170" i="1124" s="1"/>
  <c r="C171" i="1124"/>
  <c r="L171" i="1124"/>
  <c r="O171" i="1124"/>
  <c r="P171" i="1124"/>
  <c r="R171" i="1124"/>
  <c r="T171" i="1124" s="1"/>
  <c r="C172" i="1124"/>
  <c r="L172" i="1124"/>
  <c r="O172" i="1124"/>
  <c r="P172" i="1124"/>
  <c r="R172" i="1124"/>
  <c r="T172" i="1124" s="1"/>
  <c r="C173" i="1124"/>
  <c r="L173" i="1124"/>
  <c r="O173" i="1124"/>
  <c r="P173" i="1124"/>
  <c r="R173" i="1124"/>
  <c r="T173" i="1124" s="1"/>
  <c r="C174" i="1124"/>
  <c r="L174" i="1124"/>
  <c r="O174" i="1124"/>
  <c r="P174" i="1124"/>
  <c r="R174" i="1124"/>
  <c r="T174" i="1124" s="1"/>
  <c r="C175" i="1124"/>
  <c r="L175" i="1124"/>
  <c r="O175" i="1124"/>
  <c r="P175" i="1124"/>
  <c r="R175" i="1124"/>
  <c r="T175" i="1124" s="1"/>
  <c r="C176" i="1124"/>
  <c r="L176" i="1124"/>
  <c r="O176" i="1124"/>
  <c r="P176" i="1124"/>
  <c r="R176" i="1124"/>
  <c r="T176" i="1124" s="1"/>
  <c r="C177" i="1124"/>
  <c r="L177" i="1124"/>
  <c r="O177" i="1124"/>
  <c r="P177" i="1124"/>
  <c r="R177" i="1124"/>
  <c r="T177" i="1124" s="1"/>
  <c r="C178" i="1124"/>
  <c r="L178" i="1124"/>
  <c r="O178" i="1124"/>
  <c r="P178" i="1124"/>
  <c r="R178" i="1124"/>
  <c r="T178" i="1124" s="1"/>
  <c r="C179" i="1124"/>
  <c r="L179" i="1124"/>
  <c r="O179" i="1124"/>
  <c r="P179" i="1124"/>
  <c r="R179" i="1124"/>
  <c r="T179" i="1124" s="1"/>
  <c r="C180" i="1124"/>
  <c r="L180" i="1124"/>
  <c r="O180" i="1124"/>
  <c r="P180" i="1124"/>
  <c r="R180" i="1124"/>
  <c r="T180" i="1124" s="1"/>
  <c r="C181" i="1124"/>
  <c r="L181" i="1124"/>
  <c r="O181" i="1124"/>
  <c r="P181" i="1124"/>
  <c r="R181" i="1124"/>
  <c r="T181" i="1124" s="1"/>
  <c r="C182" i="1124"/>
  <c r="L182" i="1124"/>
  <c r="O182" i="1124"/>
  <c r="P182" i="1124"/>
  <c r="R182" i="1124"/>
  <c r="T182" i="1124" s="1"/>
  <c r="C183" i="1124"/>
  <c r="L183" i="1124"/>
  <c r="O183" i="1124"/>
  <c r="P183" i="1124"/>
  <c r="R183" i="1124"/>
  <c r="T183" i="1124" s="1"/>
  <c r="C184" i="1124"/>
  <c r="L184" i="1124"/>
  <c r="O184" i="1124"/>
  <c r="P184" i="1124"/>
  <c r="R184" i="1124"/>
  <c r="T184" i="1124" s="1"/>
  <c r="C185" i="1124"/>
  <c r="L185" i="1124"/>
  <c r="O185" i="1124"/>
  <c r="P185" i="1124"/>
  <c r="R185" i="1124"/>
  <c r="T185" i="1124" s="1"/>
  <c r="C186" i="1124"/>
  <c r="L186" i="1124"/>
  <c r="O186" i="1124"/>
  <c r="P186" i="1124"/>
  <c r="R186" i="1124"/>
  <c r="T186" i="1124" s="1"/>
  <c r="C187" i="1124"/>
  <c r="L187" i="1124"/>
  <c r="O187" i="1124"/>
  <c r="P187" i="1124"/>
  <c r="R187" i="1124"/>
  <c r="T187" i="1124" s="1"/>
  <c r="C188" i="1124"/>
  <c r="L188" i="1124"/>
  <c r="O188" i="1124"/>
  <c r="P188" i="1124"/>
  <c r="R188" i="1124"/>
  <c r="T188" i="1124" s="1"/>
  <c r="C189" i="1124"/>
  <c r="L189" i="1124"/>
  <c r="O189" i="1124"/>
  <c r="P189" i="1124"/>
  <c r="R189" i="1124"/>
  <c r="T189" i="1124" s="1"/>
  <c r="C190" i="1124"/>
  <c r="L190" i="1124"/>
  <c r="O190" i="1124"/>
  <c r="P190" i="1124"/>
  <c r="R190" i="1124"/>
  <c r="T190" i="1124" s="1"/>
  <c r="C191" i="1124"/>
  <c r="L191" i="1124"/>
  <c r="O191" i="1124"/>
  <c r="P191" i="1124"/>
  <c r="R191" i="1124"/>
  <c r="T191" i="1124" s="1"/>
  <c r="C192" i="1124"/>
  <c r="L192" i="1124"/>
  <c r="O192" i="1124"/>
  <c r="P192" i="1124"/>
  <c r="R192" i="1124"/>
  <c r="T192" i="1124" s="1"/>
  <c r="C193" i="1124"/>
  <c r="L193" i="1124"/>
  <c r="O193" i="1124"/>
  <c r="P193" i="1124"/>
  <c r="R193" i="1124"/>
  <c r="T193" i="1124" s="1"/>
  <c r="C194" i="1124"/>
  <c r="L194" i="1124"/>
  <c r="O194" i="1124"/>
  <c r="P194" i="1124"/>
  <c r="R194" i="1124"/>
  <c r="T194" i="1124" s="1"/>
  <c r="C195" i="1124"/>
  <c r="L195" i="1124"/>
  <c r="O195" i="1124"/>
  <c r="P195" i="1124"/>
  <c r="R195" i="1124"/>
  <c r="T195" i="1124" s="1"/>
  <c r="C196" i="1124"/>
  <c r="L196" i="1124"/>
  <c r="O196" i="1124"/>
  <c r="P196" i="1124"/>
  <c r="R196" i="1124"/>
  <c r="T196" i="1124" s="1"/>
  <c r="C197" i="1124"/>
  <c r="L197" i="1124"/>
  <c r="O197" i="1124"/>
  <c r="P197" i="1124"/>
  <c r="R197" i="1124"/>
  <c r="T197" i="1124" s="1"/>
  <c r="C198" i="1124"/>
  <c r="L198" i="1124"/>
  <c r="O198" i="1124"/>
  <c r="P198" i="1124"/>
  <c r="R198" i="1124"/>
  <c r="T198" i="1124" s="1"/>
  <c r="C199" i="1124"/>
  <c r="L199" i="1124"/>
  <c r="O199" i="1124"/>
  <c r="P199" i="1124"/>
  <c r="R199" i="1124"/>
  <c r="T199" i="1124" s="1"/>
  <c r="C200" i="1124"/>
  <c r="L200" i="1124"/>
  <c r="O200" i="1124"/>
  <c r="P200" i="1124"/>
  <c r="R200" i="1124"/>
  <c r="T200" i="1124" s="1"/>
  <c r="C201" i="1124"/>
  <c r="L201" i="1124"/>
  <c r="O201" i="1124"/>
  <c r="P201" i="1124"/>
  <c r="R201" i="1124"/>
  <c r="T201" i="1124" s="1"/>
  <c r="C202" i="1124"/>
  <c r="L202" i="1124"/>
  <c r="O202" i="1124"/>
  <c r="P202" i="1124"/>
  <c r="R202" i="1124"/>
  <c r="T202" i="1124" s="1"/>
  <c r="C203" i="1124"/>
  <c r="L203" i="1124"/>
  <c r="O203" i="1124"/>
  <c r="P203" i="1124"/>
  <c r="R203" i="1124"/>
  <c r="T203" i="1124" s="1"/>
  <c r="C204" i="1124"/>
  <c r="L204" i="1124"/>
  <c r="O204" i="1124"/>
  <c r="P204" i="1124"/>
  <c r="R204" i="1124"/>
  <c r="T204" i="1124"/>
  <c r="C205" i="1124"/>
  <c r="L205" i="1124"/>
  <c r="O205" i="1124"/>
  <c r="P205" i="1124"/>
  <c r="R205" i="1124"/>
  <c r="T205" i="1124" s="1"/>
  <c r="C206" i="1124"/>
  <c r="L206" i="1124"/>
  <c r="O206" i="1124"/>
  <c r="P206" i="1124" s="1"/>
  <c r="R206" i="1124"/>
  <c r="T206" i="1124" s="1"/>
  <c r="C207" i="1124"/>
  <c r="L207" i="1124"/>
  <c r="O207" i="1124"/>
  <c r="P207" i="1124"/>
  <c r="R207" i="1124"/>
  <c r="T207" i="1124" s="1"/>
  <c r="C208" i="1124"/>
  <c r="L208" i="1124"/>
  <c r="O208" i="1124"/>
  <c r="P208" i="1124"/>
  <c r="R208" i="1124"/>
  <c r="T208" i="1124" s="1"/>
  <c r="B1" i="1298"/>
  <c r="A27" i="1298" s="1"/>
  <c r="N39" i="1298"/>
  <c r="N40" i="1298"/>
  <c r="N41" i="1298"/>
  <c r="N42" i="1298"/>
  <c r="N43" i="1298"/>
  <c r="N44" i="1298"/>
  <c r="N46" i="1298"/>
  <c r="N47" i="1298"/>
  <c r="F48" i="1298"/>
  <c r="N48" i="1298"/>
  <c r="F49" i="1298"/>
  <c r="N49" i="1298"/>
  <c r="F50" i="1298"/>
  <c r="N50" i="1298"/>
  <c r="F51" i="1298"/>
  <c r="F52" i="1298"/>
  <c r="F53" i="1298"/>
  <c r="F54" i="1298"/>
  <c r="F55" i="1298"/>
  <c r="B60" i="1124"/>
  <c r="B40" i="1124"/>
  <c r="B81" i="1124"/>
  <c r="B163" i="1124"/>
  <c r="B111" i="1124"/>
  <c r="Q7" i="1124"/>
  <c r="B124" i="1124"/>
  <c r="Q9" i="1124"/>
  <c r="Q173" i="1124"/>
  <c r="K90" i="1124"/>
  <c r="M113" i="1124"/>
  <c r="M164" i="1124"/>
  <c r="J14" i="1124"/>
  <c r="J40" i="1124"/>
  <c r="K76" i="1124"/>
  <c r="J35" i="1124"/>
  <c r="B26" i="1124"/>
  <c r="B47" i="1124"/>
  <c r="B149" i="1124"/>
  <c r="J89" i="1124"/>
  <c r="J91" i="1124"/>
  <c r="Q96" i="1124"/>
  <c r="B27" i="1124"/>
  <c r="B180" i="1124"/>
  <c r="M75" i="1124"/>
  <c r="M155" i="1124"/>
  <c r="K189" i="1124"/>
  <c r="M82" i="1124"/>
  <c r="K39" i="1124"/>
  <c r="K18" i="1124"/>
  <c r="Q74" i="1124"/>
  <c r="B61" i="1124"/>
  <c r="B49" i="1124"/>
  <c r="B89" i="1124"/>
  <c r="Q157" i="1124"/>
  <c r="J207" i="1124"/>
  <c r="Q136" i="1124"/>
  <c r="Q179" i="1124"/>
  <c r="B194" i="1124"/>
  <c r="K181" i="1124"/>
  <c r="J66" i="1124"/>
  <c r="K30" i="1124"/>
  <c r="K59" i="1124"/>
  <c r="B10" i="1124"/>
  <c r="J74" i="1124"/>
  <c r="Q118" i="1124"/>
  <c r="B189" i="1124"/>
  <c r="J139" i="1124"/>
  <c r="J150" i="1124"/>
  <c r="B188" i="1124"/>
  <c r="J202" i="1124"/>
  <c r="Q164" i="1124"/>
  <c r="K100" i="1124"/>
  <c r="K206" i="1124"/>
  <c r="K208" i="1124"/>
  <c r="K144" i="1124"/>
  <c r="M152" i="1124"/>
  <c r="B72" i="1124"/>
  <c r="B103" i="1124"/>
  <c r="Q123" i="1124"/>
  <c r="B144" i="1124"/>
  <c r="B118" i="1124"/>
  <c r="J61" i="1124"/>
  <c r="K74" i="1124"/>
  <c r="K66" i="1124"/>
  <c r="K118" i="1124"/>
  <c r="K121" i="1124"/>
  <c r="J29" i="1124"/>
  <c r="Q34" i="1124"/>
  <c r="Q65" i="1124"/>
  <c r="Q43" i="1124"/>
  <c r="Q168" i="1124"/>
  <c r="M163" i="1124"/>
  <c r="K89" i="1124"/>
  <c r="J107" i="1124"/>
  <c r="B80" i="1124"/>
  <c r="J112" i="1124"/>
  <c r="J13" i="1124"/>
  <c r="J175" i="1124"/>
  <c r="K199" i="1124"/>
  <c r="K188" i="1124"/>
  <c r="M87" i="1124"/>
  <c r="K88" i="1124"/>
  <c r="M188" i="1124"/>
  <c r="J8" i="1124"/>
  <c r="J6" i="1124"/>
  <c r="J162" i="1124"/>
  <c r="Q137" i="1124"/>
  <c r="M147" i="1124"/>
  <c r="M129" i="1124"/>
  <c r="M202" i="1124"/>
  <c r="K47" i="1124"/>
  <c r="M148" i="1124"/>
  <c r="Q48" i="1124"/>
  <c r="B171" i="1124"/>
  <c r="B102" i="1124"/>
  <c r="Q138" i="1124"/>
  <c r="M23" i="1124"/>
  <c r="K197" i="1124"/>
  <c r="B58" i="1124"/>
  <c r="Q192" i="1124"/>
  <c r="M102" i="1124"/>
  <c r="B178" i="1124"/>
  <c r="K17" i="1124"/>
  <c r="M92" i="1124"/>
  <c r="Q108" i="1124"/>
  <c r="Q159" i="1124"/>
  <c r="M189" i="1124"/>
  <c r="M104" i="1124"/>
  <c r="Q127" i="1124"/>
  <c r="M80" i="1124"/>
  <c r="Q122" i="1124"/>
  <c r="B38" i="1124"/>
  <c r="B187" i="1124"/>
  <c r="J173" i="1124"/>
  <c r="J181" i="1124"/>
  <c r="K79" i="1124"/>
  <c r="Q26" i="1124"/>
  <c r="Q79" i="1124"/>
  <c r="Q128" i="1124"/>
  <c r="K35" i="1124"/>
  <c r="B19" i="1124"/>
  <c r="Q86" i="1124"/>
  <c r="Q124" i="1124"/>
  <c r="B195" i="1124"/>
  <c r="B25" i="1124"/>
  <c r="Q154" i="1124"/>
  <c r="Q145" i="1124"/>
  <c r="J115" i="1124"/>
  <c r="Q189" i="1124"/>
  <c r="K129" i="1124"/>
  <c r="Q35" i="1124"/>
  <c r="K177" i="1124"/>
  <c r="K61" i="1124"/>
  <c r="M62" i="1124"/>
  <c r="M170" i="1124"/>
  <c r="J78" i="1124"/>
  <c r="J62" i="1124"/>
  <c r="B110" i="1124"/>
  <c r="B181" i="1124"/>
  <c r="J131" i="1124"/>
  <c r="Q133" i="1124"/>
  <c r="J151" i="1124"/>
  <c r="J168" i="1124"/>
  <c r="Q139" i="1124"/>
  <c r="K32" i="1124"/>
  <c r="M30" i="1124"/>
  <c r="K202" i="1124"/>
  <c r="M26" i="1124"/>
  <c r="K60" i="1124"/>
  <c r="J18" i="1124"/>
  <c r="B8" i="1124"/>
  <c r="Q16" i="1124"/>
  <c r="J114" i="1124"/>
  <c r="Q42" i="1124"/>
  <c r="B205" i="1124"/>
  <c r="B158" i="1124"/>
  <c r="J195" i="1124"/>
  <c r="B119" i="1124"/>
  <c r="K49" i="1124"/>
  <c r="M160" i="1124"/>
  <c r="M12" i="1124"/>
  <c r="K137" i="1124"/>
  <c r="M122" i="1124"/>
  <c r="Q64" i="1124"/>
  <c r="J36" i="1124"/>
  <c r="B13" i="1124"/>
  <c r="Q71" i="1124"/>
  <c r="Q132" i="1124"/>
  <c r="J194" i="1124"/>
  <c r="B126" i="1124"/>
  <c r="J190" i="1124"/>
  <c r="Q204" i="1124"/>
  <c r="M156" i="1124"/>
  <c r="K9" i="1124"/>
  <c r="K55" i="1124"/>
  <c r="K203" i="1124"/>
  <c r="K26" i="1124"/>
  <c r="J83" i="1124"/>
  <c r="J75" i="1124"/>
  <c r="Q169" i="1124"/>
  <c r="Q152" i="1124"/>
  <c r="Q75" i="1124"/>
  <c r="K50" i="1124"/>
  <c r="K131" i="1124"/>
  <c r="J192" i="1124"/>
  <c r="M198" i="1124"/>
  <c r="K46" i="1124"/>
  <c r="B52" i="1124"/>
  <c r="J138" i="1124"/>
  <c r="J63" i="1124"/>
  <c r="Q55" i="1124"/>
  <c r="B129" i="1124"/>
  <c r="K112" i="1124"/>
  <c r="K171" i="1124"/>
  <c r="M94" i="1124"/>
  <c r="Q83" i="1124"/>
  <c r="Q114" i="1124"/>
  <c r="J135" i="1124"/>
  <c r="B172" i="1124"/>
  <c r="J153" i="1124"/>
  <c r="J49" i="1124"/>
  <c r="K105" i="1124"/>
  <c r="K136" i="1124"/>
  <c r="K70" i="1124"/>
  <c r="B21" i="1124"/>
  <c r="Q17" i="1124"/>
  <c r="J51" i="1124"/>
  <c r="B170" i="1124"/>
  <c r="B120" i="1124"/>
  <c r="K38" i="1124"/>
  <c r="M128" i="1124"/>
  <c r="K153" i="1124"/>
  <c r="K156" i="1124"/>
  <c r="M174" i="1124"/>
  <c r="B65" i="1124"/>
  <c r="J94" i="1124"/>
  <c r="J167" i="1124"/>
  <c r="B156" i="1124"/>
  <c r="M180" i="1124"/>
  <c r="M149" i="1124"/>
  <c r="J32" i="1124"/>
  <c r="J179" i="1124"/>
  <c r="K78" i="1124"/>
  <c r="K10" i="1124"/>
  <c r="J60" i="1124"/>
  <c r="K99" i="1124"/>
  <c r="J137" i="1124"/>
  <c r="K194" i="1124"/>
  <c r="M31" i="1124"/>
  <c r="B12" i="1124"/>
  <c r="B43" i="1124"/>
  <c r="M16" i="1124"/>
  <c r="Q107" i="1124"/>
  <c r="J165" i="1124"/>
  <c r="K36" i="1124"/>
  <c r="M58" i="1124"/>
  <c r="M105" i="1124"/>
  <c r="M79" i="1124"/>
  <c r="Q208" i="1124"/>
  <c r="Q20" i="1124"/>
  <c r="Q187" i="1124"/>
  <c r="M135" i="1124"/>
  <c r="Q70" i="1124"/>
  <c r="B11" i="1124"/>
  <c r="B179" i="1124"/>
  <c r="J147" i="1124"/>
  <c r="B145" i="1124"/>
  <c r="Q156" i="1124"/>
  <c r="J158" i="1124"/>
  <c r="K183" i="1124"/>
  <c r="M183" i="1124"/>
  <c r="M40" i="1124"/>
  <c r="M123" i="1124"/>
  <c r="B62" i="1124"/>
  <c r="J26" i="1124"/>
  <c r="B83" i="1124"/>
  <c r="Q113" i="1124"/>
  <c r="Q183" i="1124"/>
  <c r="J163" i="1124"/>
  <c r="Q130" i="1124"/>
  <c r="K178" i="1124"/>
  <c r="K73" i="1124"/>
  <c r="K52" i="1124"/>
  <c r="J188" i="1124"/>
  <c r="Q23" i="1124"/>
  <c r="Q77" i="1124"/>
  <c r="B167" i="1124"/>
  <c r="Q29" i="1124"/>
  <c r="J205" i="1124"/>
  <c r="J88" i="1124"/>
  <c r="J200" i="1124"/>
  <c r="K179" i="1124"/>
  <c r="K22" i="1124"/>
  <c r="M88" i="1124"/>
  <c r="J58" i="1124"/>
  <c r="B98" i="1124"/>
  <c r="B76" i="1124"/>
  <c r="B15" i="1124"/>
  <c r="B192" i="1124"/>
  <c r="Q105" i="1124"/>
  <c r="J149" i="1124"/>
  <c r="Q200" i="1124"/>
  <c r="K37" i="1124"/>
  <c r="M54" i="1124"/>
  <c r="K114" i="1124"/>
  <c r="M65" i="1124"/>
  <c r="J136" i="1124"/>
  <c r="J121" i="1124"/>
  <c r="B121" i="1124"/>
  <c r="M10" i="1124"/>
  <c r="J10" i="1124"/>
  <c r="M89" i="1124"/>
  <c r="M179" i="1124"/>
  <c r="J21" i="1124"/>
  <c r="B33" i="1124"/>
  <c r="B148" i="1124"/>
  <c r="M59" i="1124"/>
  <c r="M45" i="1124"/>
  <c r="K154" i="1124"/>
  <c r="B94" i="1124"/>
  <c r="B185" i="1124"/>
  <c r="B99" i="1124"/>
  <c r="J193" i="1124"/>
  <c r="K113" i="1124"/>
  <c r="K43" i="1124"/>
  <c r="K14" i="1124"/>
  <c r="Q10" i="1124"/>
  <c r="Q90" i="1124"/>
  <c r="Q172" i="1124"/>
  <c r="K93" i="1124"/>
  <c r="J12" i="1124"/>
  <c r="K116" i="1124"/>
  <c r="M14" i="1124"/>
  <c r="Q15" i="1124"/>
  <c r="Q119" i="1124"/>
  <c r="Q149" i="1124"/>
  <c r="K71" i="1124"/>
  <c r="M39" i="1124"/>
  <c r="B109" i="1124"/>
  <c r="M187" i="1124"/>
  <c r="Q135" i="1124"/>
  <c r="K28" i="1124"/>
  <c r="Q199" i="1124"/>
  <c r="K128" i="1124"/>
  <c r="K172" i="1124"/>
  <c r="K141" i="1124"/>
  <c r="B161" i="1124"/>
  <c r="M173" i="1124"/>
  <c r="Q82" i="1124"/>
  <c r="M184" i="1124"/>
  <c r="K13" i="1124"/>
  <c r="Q151" i="1124"/>
  <c r="K72" i="1124"/>
  <c r="M112" i="1124"/>
  <c r="B107" i="1124"/>
  <c r="M78" i="1124"/>
  <c r="M66" i="1124"/>
  <c r="B36" i="1124"/>
  <c r="J96" i="1124"/>
  <c r="M64" i="1124"/>
  <c r="B88" i="1124"/>
  <c r="B45" i="1124"/>
  <c r="Q37" i="1124"/>
  <c r="B176" i="1124"/>
  <c r="J53" i="1124"/>
  <c r="B164" i="1124"/>
  <c r="J97" i="1124"/>
  <c r="M205" i="1124"/>
  <c r="K159" i="1124"/>
  <c r="M21" i="1124"/>
  <c r="J104" i="1124"/>
  <c r="B108" i="1124"/>
  <c r="J85" i="1124"/>
  <c r="B201" i="1124"/>
  <c r="Q148" i="1124"/>
  <c r="Q85" i="1124"/>
  <c r="K169" i="1124"/>
  <c r="K96" i="1124"/>
  <c r="K21" i="1124"/>
  <c r="M27" i="1124"/>
  <c r="Q56" i="1124"/>
  <c r="B75" i="1124"/>
  <c r="B165" i="1124"/>
  <c r="J109" i="1124"/>
  <c r="J201" i="1124"/>
  <c r="J65" i="1124"/>
  <c r="Q147" i="1124"/>
  <c r="K155" i="1124"/>
  <c r="J100" i="1124"/>
  <c r="K157" i="1124"/>
  <c r="M49" i="1124"/>
  <c r="B92" i="1124"/>
  <c r="B85" i="1124"/>
  <c r="B199" i="1124"/>
  <c r="J180" i="1124"/>
  <c r="B132" i="1124"/>
  <c r="Q131" i="1124"/>
  <c r="Q171" i="1124"/>
  <c r="K146" i="1124"/>
  <c r="K207" i="1124"/>
  <c r="M203" i="1124"/>
  <c r="K86" i="1124"/>
  <c r="B34" i="1124"/>
  <c r="J134" i="1124"/>
  <c r="J19" i="1124"/>
  <c r="Q141" i="1124"/>
  <c r="Q47" i="1124"/>
  <c r="Q182" i="1124"/>
  <c r="K19" i="1124"/>
  <c r="K147" i="1124"/>
  <c r="M132" i="1124"/>
  <c r="B50" i="1124"/>
  <c r="B175" i="1124"/>
  <c r="Q181" i="1124"/>
  <c r="J119" i="1124"/>
  <c r="M181" i="1124"/>
  <c r="M127" i="1124"/>
  <c r="M186" i="1124"/>
  <c r="B22" i="1124"/>
  <c r="J127" i="1124"/>
  <c r="Q206" i="1124"/>
  <c r="K196" i="1124"/>
  <c r="M91" i="1124"/>
  <c r="J70" i="1124"/>
  <c r="B91" i="1124"/>
  <c r="Q170" i="1124"/>
  <c r="M9" i="1124"/>
  <c r="M22" i="1124"/>
  <c r="M182" i="1124"/>
  <c r="K193" i="1124"/>
  <c r="B63" i="1124"/>
  <c r="B41" i="1124"/>
  <c r="B200" i="1124"/>
  <c r="J208" i="1124"/>
  <c r="M177" i="1124"/>
  <c r="M178" i="1124"/>
  <c r="M196" i="1124"/>
  <c r="Q94" i="1124"/>
  <c r="Q162" i="1124"/>
  <c r="Q146" i="1124"/>
  <c r="K62" i="1124"/>
  <c r="M159" i="1124"/>
  <c r="B113" i="1124"/>
  <c r="M171" i="1124"/>
  <c r="B159" i="1124"/>
  <c r="M50" i="1124"/>
  <c r="B100" i="1124"/>
  <c r="B184" i="1124"/>
  <c r="M93" i="1124"/>
  <c r="Q120" i="1124"/>
  <c r="M144" i="1124"/>
  <c r="J15" i="1124"/>
  <c r="K95" i="1124"/>
  <c r="B32" i="1124"/>
  <c r="M74" i="1124"/>
  <c r="K104" i="1124"/>
  <c r="J43" i="1124"/>
  <c r="Q99" i="1124"/>
  <c r="J47" i="1124"/>
  <c r="B56" i="1124"/>
  <c r="B154" i="1124"/>
  <c r="K24" i="1124"/>
  <c r="Q93" i="1124"/>
  <c r="K175" i="1124"/>
  <c r="K108" i="1124"/>
  <c r="B14" i="1124"/>
  <c r="J56" i="1124"/>
  <c r="B37" i="1124"/>
  <c r="Q125" i="1124"/>
  <c r="Q24" i="1124"/>
  <c r="M13" i="1124"/>
  <c r="K80" i="1124"/>
  <c r="J191" i="1124"/>
  <c r="Q38" i="1124"/>
  <c r="Q126" i="1124"/>
  <c r="Q143" i="1124"/>
  <c r="K148" i="1124"/>
  <c r="M190" i="1124"/>
  <c r="B44" i="1124"/>
  <c r="J110" i="1124"/>
  <c r="Q163" i="1124"/>
  <c r="M72" i="1124"/>
  <c r="M157" i="1124"/>
  <c r="J45" i="1124"/>
  <c r="B106" i="1124"/>
  <c r="J169" i="1124"/>
  <c r="Q188" i="1124"/>
  <c r="J46" i="1124"/>
  <c r="Q95" i="1124"/>
  <c r="J99" i="1124"/>
  <c r="K69" i="1124"/>
  <c r="J23" i="1124"/>
  <c r="J140" i="1124"/>
  <c r="J103" i="1124"/>
  <c r="Q78" i="1124"/>
  <c r="B97" i="1124"/>
  <c r="B137" i="1124"/>
  <c r="M67" i="1124"/>
  <c r="K103" i="1124"/>
  <c r="M24" i="1124"/>
  <c r="K102" i="1124"/>
  <c r="Q72" i="1124"/>
  <c r="Q13" i="1124"/>
  <c r="B197" i="1124"/>
  <c r="J156" i="1124"/>
  <c r="Q155" i="1124"/>
  <c r="B128" i="1124"/>
  <c r="J161" i="1124"/>
  <c r="M140" i="1124"/>
  <c r="K161" i="1124"/>
  <c r="K130" i="1124"/>
  <c r="M107" i="1124"/>
  <c r="B28" i="1124"/>
  <c r="B112" i="1124"/>
  <c r="B51" i="1124"/>
  <c r="B115" i="1124"/>
  <c r="J160" i="1124"/>
  <c r="Q175" i="1124"/>
  <c r="J64" i="1124"/>
  <c r="K124" i="1124"/>
  <c r="M126" i="1124"/>
  <c r="M63" i="1124"/>
  <c r="Q25" i="1124"/>
  <c r="Q50" i="1124"/>
  <c r="J67" i="1124"/>
  <c r="B55" i="1124"/>
  <c r="Q104" i="1124"/>
  <c r="B152" i="1124"/>
  <c r="Q150" i="1124"/>
  <c r="M42" i="1124"/>
  <c r="J34" i="1124"/>
  <c r="K176" i="1124"/>
  <c r="K150" i="1124"/>
  <c r="Q19" i="1124"/>
  <c r="B16" i="1124"/>
  <c r="Q27" i="1124"/>
  <c r="K31" i="1124"/>
  <c r="K123" i="1124"/>
  <c r="K165" i="1124"/>
  <c r="M194" i="1124"/>
  <c r="B71" i="1124"/>
  <c r="J171" i="1124"/>
  <c r="J152" i="1124"/>
  <c r="K115" i="1124"/>
  <c r="K167" i="1124"/>
  <c r="M109" i="1124"/>
  <c r="J30" i="1124"/>
  <c r="B130" i="1124"/>
  <c r="Q40" i="1124"/>
  <c r="K15" i="1124"/>
  <c r="K143" i="1124"/>
  <c r="M19" i="1124"/>
  <c r="M90" i="1124"/>
  <c r="Q87" i="1124"/>
  <c r="B160" i="1124"/>
  <c r="J117" i="1124"/>
  <c r="K75" i="1124"/>
  <c r="M120" i="1124"/>
  <c r="M195" i="1124"/>
  <c r="B23" i="1124"/>
  <c r="J132" i="1124"/>
  <c r="J199" i="1124"/>
  <c r="J145" i="1124"/>
  <c r="K182" i="1124"/>
  <c r="K11" i="1124"/>
  <c r="J189" i="1124"/>
  <c r="M115" i="1124"/>
  <c r="B114" i="1124"/>
  <c r="J48" i="1124"/>
  <c r="Q100" i="1124"/>
  <c r="Q196" i="1124"/>
  <c r="K168" i="1124"/>
  <c r="B155" i="1124"/>
  <c r="M85" i="1124"/>
  <c r="K48" i="1124"/>
  <c r="M25" i="1124"/>
  <c r="Q197" i="1124"/>
  <c r="K135" i="1124"/>
  <c r="J7" i="1124"/>
  <c r="Q68" i="1124"/>
  <c r="Q153" i="1124"/>
  <c r="M138" i="1124"/>
  <c r="B96" i="1124"/>
  <c r="J111" i="1124"/>
  <c r="M154" i="1124"/>
  <c r="M117" i="1124"/>
  <c r="K192" i="1124"/>
  <c r="M172" i="1124"/>
  <c r="B31" i="1124"/>
  <c r="B134" i="1124"/>
  <c r="M43" i="1124"/>
  <c r="B90" i="1124"/>
  <c r="B82" i="1124"/>
  <c r="Q178" i="1124"/>
  <c r="J166" i="1124"/>
  <c r="M7" i="1124"/>
  <c r="M76" i="1124"/>
  <c r="J128" i="1124"/>
  <c r="J92" i="1124"/>
  <c r="B146" i="1124"/>
  <c r="M114" i="1124"/>
  <c r="K98" i="1124"/>
  <c r="J17" i="1124"/>
  <c r="J95" i="1124"/>
  <c r="Q177" i="1124"/>
  <c r="K109" i="1124"/>
  <c r="M61" i="1124"/>
  <c r="Q52" i="1124"/>
  <c r="J50" i="1124"/>
  <c r="K187" i="1124"/>
  <c r="K64" i="1124"/>
  <c r="B73" i="1124"/>
  <c r="Q203" i="1124"/>
  <c r="M206" i="1124"/>
  <c r="M200" i="1124"/>
  <c r="Q21" i="1124"/>
  <c r="Q112" i="1124"/>
  <c r="Q205" i="1124"/>
  <c r="Q191" i="1124"/>
  <c r="K142" i="1124"/>
  <c r="K186" i="1124"/>
  <c r="Q49" i="1124"/>
  <c r="B122" i="1124"/>
  <c r="J170" i="1124"/>
  <c r="K56" i="1124"/>
  <c r="M130" i="1124"/>
  <c r="B17" i="1124"/>
  <c r="B95" i="1124"/>
  <c r="B140" i="1124"/>
  <c r="M20" i="1124"/>
  <c r="K111" i="1124"/>
  <c r="J27" i="1124"/>
  <c r="B174" i="1124"/>
  <c r="M17" i="1124"/>
  <c r="M97" i="1124"/>
  <c r="B86" i="1124"/>
  <c r="B123" i="1124"/>
  <c r="K140" i="1124"/>
  <c r="M139" i="1124"/>
  <c r="Q61" i="1124"/>
  <c r="B190" i="1124"/>
  <c r="K51" i="1124"/>
  <c r="K198" i="1124"/>
  <c r="J25" i="1124"/>
  <c r="Q207" i="1124"/>
  <c r="Q198" i="1124"/>
  <c r="K44" i="1124"/>
  <c r="K170" i="1124"/>
  <c r="J11" i="1124"/>
  <c r="Q31" i="1124"/>
  <c r="M191" i="1124"/>
  <c r="K127" i="1124"/>
  <c r="Q195" i="1124"/>
  <c r="M131" i="1124"/>
  <c r="K45" i="1124"/>
  <c r="J197" i="1124"/>
  <c r="M192" i="1124"/>
  <c r="Q66" i="1124"/>
  <c r="B139" i="1124"/>
  <c r="J105" i="1124"/>
  <c r="J187" i="1124"/>
  <c r="K166" i="1124"/>
  <c r="K42" i="1124"/>
  <c r="K33" i="1124"/>
  <c r="M33" i="1124"/>
  <c r="B7" i="1124"/>
  <c r="M116" i="1124"/>
  <c r="K65" i="1124"/>
  <c r="M73" i="1124"/>
  <c r="Q76" i="1124"/>
  <c r="K126" i="1124"/>
  <c r="Q193" i="1124"/>
  <c r="B183" i="1124"/>
  <c r="Q97" i="1124"/>
  <c r="K27" i="1124"/>
  <c r="M193" i="1124"/>
  <c r="J122" i="1124"/>
  <c r="J124" i="1124"/>
  <c r="Q53" i="1124"/>
  <c r="Q51" i="1124"/>
  <c r="Q12" i="1124"/>
  <c r="K23" i="1124"/>
  <c r="J20" i="1124"/>
  <c r="M142" i="1124"/>
  <c r="J102" i="1124"/>
  <c r="M161" i="1124"/>
  <c r="M44" i="1124"/>
  <c r="J113" i="1124"/>
  <c r="Q174" i="1124"/>
  <c r="Q57" i="1124"/>
  <c r="M95" i="1124"/>
  <c r="J39" i="1124"/>
  <c r="M207" i="1124"/>
  <c r="K67" i="1124"/>
  <c r="Q63" i="1124"/>
  <c r="J77" i="1124"/>
  <c r="K180" i="1124"/>
  <c r="B77" i="1124"/>
  <c r="B24" i="1124"/>
  <c r="K53" i="1124"/>
  <c r="B39" i="1124"/>
  <c r="Q115" i="1124"/>
  <c r="B48" i="1124"/>
  <c r="Q80" i="1124"/>
  <c r="M201" i="1124"/>
  <c r="Q101" i="1124"/>
  <c r="B125" i="1124"/>
  <c r="B169" i="1124"/>
  <c r="J59" i="1124"/>
  <c r="J72" i="1124"/>
  <c r="B191" i="1124"/>
  <c r="K163" i="1124"/>
  <c r="J16" i="1124"/>
  <c r="J133" i="1124"/>
  <c r="B173" i="1124"/>
  <c r="B208" i="1124"/>
  <c r="J22" i="1124"/>
  <c r="Q30" i="1124"/>
  <c r="B202" i="1124"/>
  <c r="B138" i="1124"/>
  <c r="M57" i="1124"/>
  <c r="Q91" i="1124"/>
  <c r="Q22" i="1124"/>
  <c r="J80" i="1124"/>
  <c r="Q190" i="1124"/>
  <c r="K20" i="1124"/>
  <c r="K174" i="1124"/>
  <c r="J106" i="1124"/>
  <c r="J86" i="1124"/>
  <c r="Q158" i="1124"/>
  <c r="J33" i="1124"/>
  <c r="M121" i="1124"/>
  <c r="J37" i="1124"/>
  <c r="J144" i="1124"/>
  <c r="Q140" i="1124"/>
  <c r="B182" i="1124"/>
  <c r="M6" i="1124"/>
  <c r="M48" i="1124"/>
  <c r="B67" i="1124"/>
  <c r="Q121" i="1124"/>
  <c r="B204" i="1124"/>
  <c r="M151" i="1124"/>
  <c r="K58" i="1124"/>
  <c r="B20" i="1124"/>
  <c r="B206" i="1124"/>
  <c r="K145" i="1124"/>
  <c r="Q54" i="1124"/>
  <c r="Q176" i="1124"/>
  <c r="K162" i="1124"/>
  <c r="K16" i="1124"/>
  <c r="J146" i="1124"/>
  <c r="B116" i="1124"/>
  <c r="M134" i="1124"/>
  <c r="J76" i="1124"/>
  <c r="B101" i="1124"/>
  <c r="K158" i="1124"/>
  <c r="B68" i="1124"/>
  <c r="J52" i="1124"/>
  <c r="Q59" i="1124"/>
  <c r="J101" i="1124"/>
  <c r="K139" i="1124"/>
  <c r="J42" i="1124"/>
  <c r="K125" i="1124"/>
  <c r="M165" i="1124"/>
  <c r="J44" i="1124"/>
  <c r="K164" i="1124"/>
  <c r="B104" i="1124"/>
  <c r="J172" i="1124"/>
  <c r="M197" i="1124"/>
  <c r="B18" i="1124"/>
  <c r="Q28" i="1124"/>
  <c r="Q58" i="1124"/>
  <c r="K149" i="1124"/>
  <c r="Q109" i="1124"/>
  <c r="J41" i="1124"/>
  <c r="M32" i="1124"/>
  <c r="K34" i="1124"/>
  <c r="M52" i="1124"/>
  <c r="M60" i="1124"/>
  <c r="J174" i="1124"/>
  <c r="Q116" i="1124"/>
  <c r="M208" i="1124"/>
  <c r="B84" i="1124"/>
  <c r="K152" i="1124"/>
  <c r="J177" i="1124"/>
  <c r="J126" i="1124"/>
  <c r="M38" i="1124"/>
  <c r="K68" i="1124"/>
  <c r="J120" i="1124"/>
  <c r="K87" i="1124"/>
  <c r="B177" i="1124"/>
  <c r="J182" i="1124"/>
  <c r="Q67" i="1124"/>
  <c r="Q134" i="1124"/>
  <c r="B186" i="1124"/>
  <c r="K107" i="1124"/>
  <c r="Q69" i="1124"/>
  <c r="J198" i="1124"/>
  <c r="Q84" i="1124"/>
  <c r="J142" i="1124"/>
  <c r="M83" i="1124"/>
  <c r="B168" i="1124"/>
  <c r="J123" i="1124"/>
  <c r="K190" i="1124"/>
  <c r="Q60" i="1124"/>
  <c r="M162" i="1124"/>
  <c r="M34" i="1124"/>
  <c r="Q194" i="1124"/>
  <c r="M41" i="1124"/>
  <c r="M99" i="1124"/>
  <c r="K12" i="1124"/>
  <c r="Q144" i="1124"/>
  <c r="K8" i="1124"/>
  <c r="M146" i="1124"/>
  <c r="K160" i="1124"/>
  <c r="Q11" i="1124"/>
  <c r="B74" i="1124"/>
  <c r="B30" i="1124"/>
  <c r="B66" i="1124"/>
  <c r="M136" i="1124"/>
  <c r="Q102" i="1124"/>
  <c r="J71" i="1124"/>
  <c r="M11" i="1124"/>
  <c r="K134" i="1124"/>
  <c r="Q110" i="1124"/>
  <c r="Q161" i="1124"/>
  <c r="M106" i="1124"/>
  <c r="K201" i="1124"/>
  <c r="B42" i="1124"/>
  <c r="J108" i="1124"/>
  <c r="B105" i="1124"/>
  <c r="M56" i="1124"/>
  <c r="M100" i="1124"/>
  <c r="B64" i="1124"/>
  <c r="B87" i="1124"/>
  <c r="Q160" i="1124"/>
  <c r="Q180" i="1124"/>
  <c r="M119" i="1124"/>
  <c r="M175" i="1124"/>
  <c r="J84" i="1124"/>
  <c r="Q45" i="1124"/>
  <c r="Q92" i="1124"/>
  <c r="M176" i="1124"/>
  <c r="J54" i="1124"/>
  <c r="B69" i="1124"/>
  <c r="B150" i="1124"/>
  <c r="K82" i="1124"/>
  <c r="M143" i="1124"/>
  <c r="Q103" i="1124"/>
  <c r="J183" i="1124"/>
  <c r="K92" i="1124"/>
  <c r="M36" i="1124"/>
  <c r="Q89" i="1124"/>
  <c r="J184" i="1124"/>
  <c r="K40" i="1124"/>
  <c r="K29" i="1124"/>
  <c r="Q46" i="1124"/>
  <c r="Q165" i="1124"/>
  <c r="K120" i="1124"/>
  <c r="B46" i="1124"/>
  <c r="Q44" i="1124"/>
  <c r="J204" i="1124"/>
  <c r="Q98" i="1124"/>
  <c r="K54" i="1124"/>
  <c r="J69" i="1124"/>
  <c r="M167" i="1124"/>
  <c r="M111" i="1124"/>
  <c r="J82" i="1124"/>
  <c r="M37" i="1124"/>
  <c r="M108" i="1124"/>
  <c r="J154" i="1124"/>
  <c r="B141" i="1124"/>
  <c r="M35" i="1124"/>
  <c r="K122" i="1124"/>
  <c r="Q111" i="1124"/>
  <c r="M28" i="1124"/>
  <c r="Q73" i="1124"/>
  <c r="B59" i="1124"/>
  <c r="M18" i="1124"/>
  <c r="B166" i="1124"/>
  <c r="J203" i="1124"/>
  <c r="K101" i="1124"/>
  <c r="K117" i="1124"/>
  <c r="K200" i="1124"/>
  <c r="K25" i="1124"/>
  <c r="Q106" i="1124"/>
  <c r="K63" i="1124"/>
  <c r="B9" i="1124"/>
  <c r="B196" i="1124"/>
  <c r="B54" i="1124"/>
  <c r="B203" i="1124"/>
  <c r="J68" i="1124"/>
  <c r="K97" i="1124"/>
  <c r="J57" i="1124"/>
  <c r="M168" i="1124"/>
  <c r="Q129" i="1124"/>
  <c r="Q185" i="1124"/>
  <c r="J116" i="1124"/>
  <c r="J24" i="1124"/>
  <c r="M77" i="1124"/>
  <c r="B131" i="1124"/>
  <c r="M55" i="1124"/>
  <c r="M81" i="1124"/>
  <c r="B53" i="1124"/>
  <c r="M101" i="1124"/>
  <c r="K119" i="1124"/>
  <c r="K94" i="1124"/>
  <c r="M86" i="1124"/>
  <c r="J196" i="1124"/>
  <c r="B117" i="1124"/>
  <c r="M69" i="1124"/>
  <c r="B57" i="1124"/>
  <c r="B142" i="1124"/>
  <c r="J157" i="1124"/>
  <c r="J28" i="1124"/>
  <c r="K84" i="1124"/>
  <c r="B207" i="1124"/>
  <c r="K184" i="1124"/>
  <c r="B93" i="1124"/>
  <c r="J143" i="1124"/>
  <c r="Q117" i="1124"/>
  <c r="J118" i="1124"/>
  <c r="M153" i="1124"/>
  <c r="K191" i="1124"/>
  <c r="K204" i="1124"/>
  <c r="J31" i="1124"/>
  <c r="B147" i="1124"/>
  <c r="Q186" i="1124"/>
  <c r="K57" i="1124"/>
  <c r="K41" i="1124"/>
  <c r="Q88" i="1124"/>
  <c r="Q41" i="1124"/>
  <c r="B135" i="1124"/>
  <c r="M141" i="1124"/>
  <c r="M68" i="1124"/>
  <c r="Q81" i="1124"/>
  <c r="B151" i="1124"/>
  <c r="J185" i="1124"/>
  <c r="B143" i="1124"/>
  <c r="M150" i="1124"/>
  <c r="M84" i="1124"/>
  <c r="B29" i="1124"/>
  <c r="J164" i="1124"/>
  <c r="J141" i="1124"/>
  <c r="M185" i="1124"/>
  <c r="K185" i="1124"/>
  <c r="Q33" i="1124"/>
  <c r="J159" i="1124"/>
  <c r="K85" i="1124"/>
  <c r="M29" i="1124"/>
  <c r="J79" i="1124"/>
  <c r="J155" i="1124"/>
  <c r="M145" i="1124"/>
  <c r="M110" i="1124"/>
  <c r="B153" i="1124"/>
  <c r="J186" i="1124"/>
  <c r="M199" i="1124"/>
  <c r="K138" i="1124"/>
  <c r="J130" i="1124"/>
  <c r="B133" i="1124"/>
  <c r="K83" i="1124"/>
  <c r="M204" i="1124"/>
  <c r="B79" i="1124"/>
  <c r="Q167" i="1124"/>
  <c r="K7" i="1124"/>
  <c r="B78" i="1124"/>
  <c r="J55" i="1124"/>
  <c r="B6" i="1124"/>
  <c r="J38" i="1124"/>
  <c r="M47" i="1124"/>
  <c r="Q8" i="1124"/>
  <c r="Q14" i="1124"/>
  <c r="B127" i="1124"/>
  <c r="Q62" i="1124"/>
  <c r="M158" i="1124"/>
  <c r="J9" i="1124"/>
  <c r="K6" i="1124"/>
  <c r="Q202" i="1124"/>
  <c r="M124" i="1124"/>
  <c r="M70" i="1124"/>
  <c r="K133" i="1124"/>
  <c r="J98" i="1124"/>
  <c r="Q166" i="1124"/>
  <c r="B162" i="1124"/>
  <c r="Q184" i="1124"/>
  <c r="J148" i="1124"/>
  <c r="M98" i="1124"/>
  <c r="Q201" i="1124"/>
  <c r="M51" i="1124"/>
  <c r="M137" i="1124"/>
  <c r="J129" i="1124"/>
  <c r="M96" i="1124"/>
  <c r="J87" i="1124"/>
  <c r="J90" i="1124"/>
  <c r="B70" i="1124"/>
  <c r="M118" i="1124"/>
  <c r="K106" i="1124"/>
  <c r="M71" i="1124"/>
  <c r="M169" i="1124"/>
  <c r="M46" i="1124"/>
  <c r="J73" i="1124"/>
  <c r="K195" i="1124"/>
  <c r="Q18" i="1124"/>
  <c r="B136" i="1124"/>
  <c r="M15" i="1124"/>
  <c r="Q142" i="1124"/>
  <c r="Q6" i="1124"/>
  <c r="K173" i="1124"/>
  <c r="B157" i="1124"/>
  <c r="K110" i="1124"/>
  <c r="M103" i="1124"/>
  <c r="J125" i="1124"/>
  <c r="K81" i="1124"/>
  <c r="B198" i="1124"/>
  <c r="Q32" i="1124"/>
  <c r="M125" i="1124"/>
  <c r="K151" i="1124"/>
  <c r="K77" i="1124"/>
  <c r="J93" i="1124"/>
  <c r="J178" i="1124"/>
  <c r="Q36" i="1124"/>
  <c r="Q39" i="1124"/>
  <c r="M53" i="1124"/>
  <c r="B35" i="1124"/>
  <c r="J81" i="1124"/>
  <c r="M8" i="1124"/>
  <c r="K91" i="1124"/>
  <c r="K132" i="1124"/>
  <c r="K205" i="1124"/>
  <c r="M166" i="1124"/>
  <c r="J176" i="1124"/>
  <c r="M133" i="1124"/>
  <c r="B193" i="1124"/>
  <c r="J206" i="1124"/>
  <c r="N160" i="1124" l="1"/>
  <c r="N134" i="1124"/>
  <c r="N140" i="1124"/>
  <c r="N199" i="1124"/>
  <c r="N179" i="1124"/>
  <c r="N144" i="1124"/>
  <c r="N103" i="1124"/>
  <c r="N79" i="1124"/>
  <c r="N197" i="1124"/>
  <c r="N196" i="1124"/>
  <c r="N176" i="1124"/>
  <c r="N174" i="1124"/>
  <c r="N155" i="1124"/>
  <c r="N154" i="1124"/>
  <c r="N132" i="1124"/>
  <c r="N126" i="1124"/>
  <c r="N104" i="1124"/>
  <c r="N96" i="1124"/>
  <c r="N203" i="1124"/>
  <c r="N148" i="1124"/>
  <c r="N7" i="1124"/>
  <c r="N187" i="1124"/>
  <c r="N205" i="1124"/>
  <c r="N195" i="1124"/>
  <c r="N112" i="1124"/>
  <c r="N105" i="1124"/>
  <c r="N208" i="1124"/>
  <c r="N192" i="1124"/>
  <c r="N163" i="1124"/>
  <c r="N158" i="1124"/>
  <c r="N133" i="1124"/>
  <c r="N106" i="1124"/>
  <c r="N19" i="1124"/>
  <c r="N190" i="1124"/>
  <c r="N36" i="1124"/>
  <c r="N188" i="1124"/>
  <c r="N165" i="1124"/>
  <c r="N201" i="1124"/>
  <c r="N183" i="1124"/>
  <c r="N167" i="1124"/>
  <c r="N151" i="1124"/>
  <c r="N181" i="1124"/>
  <c r="N180" i="1124"/>
  <c r="N172" i="1124"/>
  <c r="N95" i="1124"/>
  <c r="N50" i="1124"/>
  <c r="N90" i="1124"/>
  <c r="N84" i="1124"/>
  <c r="N45" i="1124"/>
  <c r="N37" i="1124"/>
  <c r="N29" i="1124"/>
  <c r="N21" i="1124"/>
  <c r="N8" i="1124"/>
  <c r="N207" i="1124"/>
  <c r="N194" i="1124"/>
  <c r="N185" i="1124"/>
  <c r="N178" i="1124"/>
  <c r="N169" i="1124"/>
  <c r="N162" i="1124"/>
  <c r="N157" i="1124"/>
  <c r="N143" i="1124"/>
  <c r="N139" i="1124"/>
  <c r="N131" i="1124"/>
  <c r="N100" i="1124"/>
  <c r="N46" i="1124"/>
  <c r="N38" i="1124"/>
  <c r="N30" i="1124"/>
  <c r="N14" i="1124"/>
  <c r="N138" i="1124"/>
  <c r="N54" i="1124"/>
  <c r="N182" i="1124"/>
  <c r="N166" i="1124"/>
  <c r="N156" i="1124"/>
  <c r="N153" i="1124"/>
  <c r="N137" i="1124"/>
  <c r="N129" i="1124"/>
  <c r="N93" i="1124"/>
  <c r="N10" i="1124"/>
  <c r="N164" i="1124"/>
  <c r="N130" i="1124"/>
  <c r="N110" i="1124"/>
  <c r="N198" i="1124"/>
  <c r="N189" i="1124"/>
  <c r="N173" i="1124"/>
  <c r="N206" i="1124"/>
  <c r="N204" i="1124"/>
  <c r="N202" i="1124"/>
  <c r="N200" i="1124"/>
  <c r="N191" i="1124"/>
  <c r="N184" i="1124"/>
  <c r="N175" i="1124"/>
  <c r="N168" i="1124"/>
  <c r="N159" i="1124"/>
  <c r="N146" i="1124"/>
  <c r="N142" i="1124"/>
  <c r="N136" i="1124"/>
  <c r="N128" i="1124"/>
  <c r="N108" i="1124"/>
  <c r="N70" i="1124"/>
  <c r="N62" i="1124"/>
  <c r="N33" i="1124"/>
  <c r="N16" i="1124"/>
  <c r="N171" i="1124"/>
  <c r="N150" i="1124"/>
  <c r="N147" i="1124"/>
  <c r="N52" i="1124"/>
  <c r="N193" i="1124"/>
  <c r="N186" i="1124"/>
  <c r="N177" i="1124"/>
  <c r="N170" i="1124"/>
  <c r="N161" i="1124"/>
  <c r="N152" i="1124"/>
  <c r="N149" i="1124"/>
  <c r="N145" i="1124"/>
  <c r="N141" i="1124"/>
  <c r="N135" i="1124"/>
  <c r="N127" i="1124"/>
  <c r="N88" i="1124"/>
  <c r="N78" i="1124"/>
  <c r="N35" i="1124"/>
  <c r="N34" i="1124"/>
  <c r="N18" i="1124"/>
  <c r="N17" i="1124"/>
  <c r="N124" i="1124"/>
  <c r="N122" i="1124"/>
  <c r="N120" i="1124"/>
  <c r="N118" i="1124"/>
  <c r="N116" i="1124"/>
  <c r="N114" i="1124"/>
  <c r="N94" i="1124"/>
  <c r="N86" i="1124"/>
  <c r="N68" i="1124"/>
  <c r="N60" i="1124"/>
  <c r="N48" i="1124"/>
  <c r="N32" i="1124"/>
  <c r="N31" i="1124"/>
  <c r="N12" i="1124"/>
  <c r="N9" i="1124"/>
  <c r="N98" i="1124"/>
  <c r="N74" i="1124"/>
  <c r="N66" i="1124"/>
  <c r="N58" i="1124"/>
  <c r="N44" i="1124"/>
  <c r="N43" i="1124"/>
  <c r="N28" i="1124"/>
  <c r="N27" i="1124"/>
  <c r="N111" i="1124"/>
  <c r="N109" i="1124"/>
  <c r="N107" i="1124"/>
  <c r="N102" i="1124"/>
  <c r="N97" i="1124"/>
  <c r="N92" i="1124"/>
  <c r="N42" i="1124"/>
  <c r="N41" i="1124"/>
  <c r="N26" i="1124"/>
  <c r="N23" i="1124"/>
  <c r="N125" i="1124"/>
  <c r="N123" i="1124"/>
  <c r="N121" i="1124"/>
  <c r="N119" i="1124"/>
  <c r="N117" i="1124"/>
  <c r="N115" i="1124"/>
  <c r="N113" i="1124"/>
  <c r="N91" i="1124"/>
  <c r="N72" i="1124"/>
  <c r="N64" i="1124"/>
  <c r="N56" i="1124"/>
  <c r="N40" i="1124"/>
  <c r="N39" i="1124"/>
  <c r="N83" i="1124"/>
  <c r="N81" i="1124"/>
  <c r="N76" i="1124"/>
  <c r="N25" i="1124"/>
  <c r="N89" i="1124"/>
  <c r="N87" i="1124"/>
  <c r="N85" i="1124"/>
  <c r="N55" i="1124"/>
  <c r="N53" i="1124"/>
  <c r="N51" i="1124"/>
  <c r="N49" i="1124"/>
  <c r="N47" i="1124"/>
  <c r="N13" i="1124"/>
  <c r="N11" i="1124"/>
  <c r="N99" i="1124"/>
  <c r="N80" i="1124"/>
  <c r="N75" i="1124"/>
  <c r="N73" i="1124"/>
  <c r="N71" i="1124"/>
  <c r="N69" i="1124"/>
  <c r="N67" i="1124"/>
  <c r="N65" i="1124"/>
  <c r="N63" i="1124"/>
  <c r="N61" i="1124"/>
  <c r="N59" i="1124"/>
  <c r="N57" i="1124"/>
  <c r="N24" i="1124"/>
  <c r="N22" i="1124"/>
  <c r="N20" i="1124"/>
  <c r="N101" i="1124"/>
  <c r="N82" i="1124"/>
  <c r="N77" i="1124"/>
  <c r="N15" i="1124"/>
  <c r="N6" i="1124"/>
  <c r="B2" i="1298"/>
</calcChain>
</file>

<file path=xl/comments1.xml><?xml version="1.0" encoding="utf-8"?>
<comments xmlns="http://schemas.openxmlformats.org/spreadsheetml/2006/main">
  <authors>
    <author>nkennedy</author>
    <author>Noel Kennedy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nkennedy:</t>
        </r>
        <r>
          <rPr>
            <sz val="8"/>
            <color indexed="81"/>
            <rFont val="Tahoma"/>
            <family val="2"/>
          </rPr>
          <t xml:space="preserve">
You must add "Yes"  to the A cell corresponding to the ISIN you wish to generate cashflows on.</t>
        </r>
      </text>
    </comment>
    <comment ref="N8" authorId="0">
      <text>
        <r>
          <rPr>
            <b/>
            <sz val="8"/>
            <color indexed="81"/>
            <rFont val="Tahoma"/>
            <family val="2"/>
          </rPr>
          <t>nkennedy:</t>
        </r>
        <r>
          <rPr>
            <sz val="8"/>
            <color indexed="81"/>
            <rFont val="Tahoma"/>
            <family val="2"/>
          </rPr>
          <t xml:space="preserve">
This formats the issue date into a certain format to enable entire cashflow history be generated from BBerg</t>
        </r>
      </text>
    </comment>
    <comment ref="U8" authorId="1">
      <text>
        <r>
          <rPr>
            <b/>
            <sz val="9"/>
            <color indexed="81"/>
            <rFont val="Tahoma"/>
            <family val="2"/>
          </rPr>
          <t>Noel Kennedy:</t>
        </r>
        <r>
          <rPr>
            <sz val="9"/>
            <color indexed="81"/>
            <rFont val="Tahoma"/>
            <family val="2"/>
          </rPr>
          <t xml:space="preserve">
Adjust prepayment speed here
</t>
        </r>
      </text>
    </comment>
    <comment ref="V8" authorId="1">
      <text>
        <r>
          <rPr>
            <b/>
            <sz val="9"/>
            <color indexed="81"/>
            <rFont val="Tahoma"/>
            <family val="2"/>
          </rPr>
          <t>Noel Kennedy:</t>
        </r>
        <r>
          <rPr>
            <sz val="9"/>
            <color indexed="81"/>
            <rFont val="Tahoma"/>
            <family val="2"/>
          </rPr>
          <t xml:space="preserve">
Adjust prepayment type here</t>
        </r>
      </text>
    </comment>
    <comment ref="Y8" authorId="0">
      <text>
        <r>
          <rPr>
            <b/>
            <sz val="8"/>
            <color indexed="81"/>
            <rFont val="Tahoma"/>
            <family val="2"/>
          </rPr>
          <t>nkennedy:</t>
        </r>
        <r>
          <rPr>
            <sz val="8"/>
            <color indexed="81"/>
            <rFont val="Tahoma"/>
            <family val="2"/>
          </rPr>
          <t xml:space="preserve">
These is a timing delay on the cashflows - we need to adjust our download by this amount</t>
        </r>
      </text>
    </comment>
    <comment ref="Z8" authorId="1">
      <text>
        <r>
          <rPr>
            <b/>
            <sz val="9"/>
            <color indexed="81"/>
            <rFont val="Tahoma"/>
            <family val="2"/>
          </rPr>
          <t>Noel Kennedy:</t>
        </r>
        <r>
          <rPr>
            <sz val="9"/>
            <color indexed="81"/>
            <rFont val="Tahoma"/>
            <family val="2"/>
          </rPr>
          <t xml:space="preserve">
Use this to generate the future empty periods - ensures nothing messed up in the schedule
</t>
        </r>
      </text>
    </comment>
    <comment ref="AA8" authorId="1">
      <text>
        <r>
          <rPr>
            <b/>
            <sz val="9"/>
            <color indexed="81"/>
            <rFont val="Tahoma"/>
            <family val="2"/>
          </rPr>
          <t>Noel Kennedy:</t>
        </r>
        <r>
          <rPr>
            <sz val="9"/>
            <color indexed="81"/>
            <rFont val="Tahoma"/>
            <family val="2"/>
          </rPr>
          <t xml:space="preserve">
This gives the new WAL from Bloomberg accounting for the user defined pre-payment type and speed</t>
        </r>
      </text>
    </comment>
    <comment ref="C17" authorId="0">
      <text>
        <r>
          <rPr>
            <b/>
            <sz val="8"/>
            <color indexed="81"/>
            <rFont val="Tahoma"/>
            <family val="2"/>
          </rPr>
          <t>nkennedy:</t>
        </r>
        <r>
          <rPr>
            <sz val="8"/>
            <color indexed="81"/>
            <rFont val="Tahoma"/>
            <family val="2"/>
          </rPr>
          <t xml:space="preserve">
You must add "Yes"  to the A cell corresponding to the ISIN you wish to generate cashflows on.</t>
        </r>
      </text>
    </comment>
    <comment ref="N17" authorId="0">
      <text>
        <r>
          <rPr>
            <b/>
            <sz val="8"/>
            <color indexed="81"/>
            <rFont val="Tahoma"/>
            <family val="2"/>
          </rPr>
          <t>nkennedy:</t>
        </r>
        <r>
          <rPr>
            <sz val="8"/>
            <color indexed="81"/>
            <rFont val="Tahoma"/>
            <family val="2"/>
          </rPr>
          <t xml:space="preserve">
This formats the issue date into a certain format to enable entire cashflow history be generated from BBerg</t>
        </r>
      </text>
    </comment>
    <comment ref="Y17" authorId="0">
      <text>
        <r>
          <rPr>
            <b/>
            <sz val="8"/>
            <color indexed="81"/>
            <rFont val="Tahoma"/>
            <family val="2"/>
          </rPr>
          <t>nkennedy:</t>
        </r>
        <r>
          <rPr>
            <sz val="8"/>
            <color indexed="81"/>
            <rFont val="Tahoma"/>
            <family val="2"/>
          </rPr>
          <t xml:space="preserve">
These is a timing delay on the cashflows - we need to adjust our download by this amount</t>
        </r>
      </text>
    </comment>
    <comment ref="Z17" authorId="1">
      <text>
        <r>
          <rPr>
            <b/>
            <sz val="9"/>
            <color indexed="81"/>
            <rFont val="Tahoma"/>
            <family val="2"/>
          </rPr>
          <t>Noel Kennedy:</t>
        </r>
        <r>
          <rPr>
            <sz val="9"/>
            <color indexed="81"/>
            <rFont val="Tahoma"/>
            <family val="2"/>
          </rPr>
          <t xml:space="preserve">
Use this to generate the future empty periods - ensures nothing messed up in the schedule
</t>
        </r>
      </text>
    </comment>
  </commentList>
</comments>
</file>

<file path=xl/comments2.xml><?xml version="1.0" encoding="utf-8"?>
<comments xmlns="http://schemas.openxmlformats.org/spreadsheetml/2006/main">
  <authors>
    <author>dzaykovskiy</author>
    <author>marketdata</author>
  </authors>
  <commentList>
    <comment ref="K5" authorId="0">
      <text>
        <r>
          <rPr>
            <b/>
            <sz val="8"/>
            <color indexed="81"/>
            <rFont val="Tahoma"/>
            <family val="2"/>
          </rPr>
          <t>dzaykovskiy:</t>
        </r>
        <r>
          <rPr>
            <sz val="8"/>
            <color indexed="81"/>
            <rFont val="Tahoma"/>
            <family val="2"/>
          </rPr>
          <t xml:space="preserve">
has Lodnon calender in Summit</t>
        </r>
      </text>
    </comment>
    <comment ref="A11" authorId="1">
      <text>
        <r>
          <rPr>
            <b/>
            <sz val="8"/>
            <color indexed="81"/>
            <rFont val="Tahoma"/>
            <family val="2"/>
          </rPr>
          <t>marketdata:</t>
        </r>
        <r>
          <rPr>
            <sz val="8"/>
            <color indexed="81"/>
            <rFont val="Tahoma"/>
            <family val="2"/>
          </rPr>
          <t xml:space="preserve">
SecID=QUSIP in Summit</t>
        </r>
      </text>
    </comment>
    <comment ref="A96" authorId="0">
      <text>
        <r>
          <rPr>
            <b/>
            <sz val="8"/>
            <color indexed="81"/>
            <rFont val="Tahoma"/>
            <family val="2"/>
          </rPr>
          <t xml:space="preserve">dzaykovskiy:
</t>
        </r>
        <r>
          <rPr>
            <sz val="8"/>
            <color indexed="81"/>
            <rFont val="Tahoma"/>
            <family val="2"/>
          </rPr>
          <t>Summit Notional&lt;&gt;1mln and is "douplet"</t>
        </r>
      </text>
    </comment>
    <comment ref="A114" authorId="1">
      <text>
        <r>
          <rPr>
            <b/>
            <sz val="8"/>
            <color indexed="81"/>
            <rFont val="Tahoma"/>
            <family val="2"/>
          </rPr>
          <t>marketdata:</t>
        </r>
        <r>
          <rPr>
            <sz val="8"/>
            <color indexed="81"/>
            <rFont val="Tahoma"/>
            <family val="2"/>
          </rPr>
          <t xml:space="preserve">
Sold as of Q3 2009</t>
        </r>
      </text>
    </comment>
    <comment ref="E206" authorId="1">
      <text>
        <r>
          <rPr>
            <b/>
            <sz val="8"/>
            <color indexed="81"/>
            <rFont val="Tahoma"/>
            <family val="2"/>
          </rPr>
          <t>marketdata:</t>
        </r>
        <r>
          <rPr>
            <sz val="8"/>
            <color indexed="81"/>
            <rFont val="Tahoma"/>
            <family val="2"/>
          </rPr>
          <t xml:space="preserve">
PPC is not supported</t>
        </r>
      </text>
    </comment>
  </commentList>
</comments>
</file>

<file path=xl/sharedStrings.xml><?xml version="1.0" encoding="utf-8"?>
<sst xmlns="http://schemas.openxmlformats.org/spreadsheetml/2006/main" count="1345" uniqueCount="332">
  <si>
    <t>US78444XAD93</t>
  </si>
  <si>
    <t>US78444XAE76</t>
  </si>
  <si>
    <t>US78445CAC64</t>
  </si>
  <si>
    <t>US78445CAD48</t>
  </si>
  <si>
    <t>US78445FAA30</t>
  </si>
  <si>
    <t>US78445FAB13</t>
  </si>
  <si>
    <t>US78445FAC95</t>
  </si>
  <si>
    <t>US78445FAD78</t>
  </si>
  <si>
    <t>US83714RAX17</t>
  </si>
  <si>
    <t>US83714RAY99</t>
  </si>
  <si>
    <t>US83714RBA05</t>
  </si>
  <si>
    <t>US86800NAD21</t>
  </si>
  <si>
    <t>US92978JAF03</t>
  </si>
  <si>
    <t>XS0187454706</t>
  </si>
  <si>
    <t>XS0355234641</t>
  </si>
  <si>
    <t>US64031QCJ85</t>
  </si>
  <si>
    <t>US194267AQ33</t>
  </si>
  <si>
    <t>US429827AU22</t>
  </si>
  <si>
    <t>2</t>
  </si>
  <si>
    <t>US429827AV05</t>
  </si>
  <si>
    <t>US429827AW87</t>
  </si>
  <si>
    <t>US429827AX60</t>
  </si>
  <si>
    <t>US48122HAA23</t>
  </si>
  <si>
    <t>USU63718AG22</t>
  </si>
  <si>
    <t>USU86787AD71</t>
  </si>
  <si>
    <t>4</t>
  </si>
  <si>
    <t>Status 10.11.09</t>
  </si>
  <si>
    <t>Status 29.10.09</t>
  </si>
  <si>
    <t>5</t>
  </si>
  <si>
    <t>0</t>
  </si>
  <si>
    <t>3</t>
  </si>
  <si>
    <t>6</t>
  </si>
  <si>
    <t>corrected</t>
  </si>
  <si>
    <t>08.12.09</t>
  </si>
  <si>
    <t>09.12.09</t>
  </si>
  <si>
    <t>16.12.09</t>
  </si>
  <si>
    <t>21.12.09</t>
  </si>
  <si>
    <t>WAL</t>
  </si>
  <si>
    <t>next pay</t>
  </si>
  <si>
    <t>cpr</t>
  </si>
  <si>
    <t>issue_dt</t>
  </si>
  <si>
    <t>Mtge ISIN</t>
  </si>
  <si>
    <t>mtg_factor</t>
  </si>
  <si>
    <t>Name</t>
  </si>
  <si>
    <t>issuer</t>
  </si>
  <si>
    <t>cpn_typ</t>
  </si>
  <si>
    <t>cur_cpn</t>
  </si>
  <si>
    <t>prev_cpn_dt</t>
  </si>
  <si>
    <t>nxt_cpn_dt</t>
  </si>
  <si>
    <t>crncy</t>
  </si>
  <si>
    <t>US38374MEF23</t>
  </si>
  <si>
    <t>US38373MSC54</t>
  </si>
  <si>
    <t>US38373MG611</t>
  </si>
  <si>
    <t>US38373MK746</t>
  </si>
  <si>
    <t>Bloomberg Feed</t>
  </si>
  <si>
    <t>SETTLE_DT</t>
  </si>
  <si>
    <t>Root Folder</t>
  </si>
  <si>
    <t>Run.Date Sub Folder</t>
  </si>
  <si>
    <t>Note below on these dates</t>
  </si>
  <si>
    <t>mtg prepay speed</t>
  </si>
  <si>
    <t>mtg prepay typ</t>
  </si>
  <si>
    <t>mtg wal</t>
  </si>
  <si>
    <t>maturity</t>
  </si>
  <si>
    <t>issue date as settle date</t>
  </si>
  <si>
    <t>market sector des</t>
  </si>
  <si>
    <t>Today</t>
  </si>
  <si>
    <t>Text Format</t>
  </si>
  <si>
    <t>Mtg_pay_delay</t>
  </si>
  <si>
    <t>This is run for when we want to generate the cashflow files from inception</t>
  </si>
  <si>
    <t xml:space="preserve">Generates Tabs that contain the Bloomberg feed that has all the cashflows from inception </t>
  </si>
  <si>
    <t>Generate Tabs that contain just the future cashflow</t>
  </si>
  <si>
    <t>Once the files have been generated you can delete the TMP worksheet. This gets the workbook ready for the next run</t>
  </si>
  <si>
    <t>This is the root folder that we generate the text files out to. This is changeable</t>
  </si>
  <si>
    <t>Step through these in order</t>
  </si>
  <si>
    <t>3a</t>
  </si>
  <si>
    <t>3b</t>
  </si>
  <si>
    <t>Chose one of these</t>
  </si>
  <si>
    <t>MTG_PREPAY_SPEED</t>
  </si>
  <si>
    <t>MTG_PREPAY_TYP</t>
  </si>
  <si>
    <t>US493268CD64</t>
  </si>
  <si>
    <t>MTG PREPAY SPEED</t>
  </si>
  <si>
    <t>MTG PREPAY TYP</t>
  </si>
  <si>
    <t>PP Speed</t>
  </si>
  <si>
    <t>PP Type</t>
  </si>
  <si>
    <t>SECURITY DES</t>
  </si>
  <si>
    <t>IDENTIFIER</t>
  </si>
  <si>
    <t>Description</t>
  </si>
  <si>
    <t>MTG_FACE_AMT</t>
  </si>
  <si>
    <t>Original Face Amount</t>
  </si>
  <si>
    <t>US78442GFL59</t>
  </si>
  <si>
    <t>US001621AA96</t>
  </si>
  <si>
    <t>US00432CDC29</t>
  </si>
  <si>
    <t>US01551DAH52</t>
  </si>
  <si>
    <t>US10620NAP33</t>
  </si>
  <si>
    <t>US16151UAB26</t>
  </si>
  <si>
    <t>US16151UAC09</t>
  </si>
  <si>
    <t>US16151UAD81</t>
  </si>
  <si>
    <t>US194262CH29</t>
  </si>
  <si>
    <t>US194262CJ84</t>
  </si>
  <si>
    <t>US194262CL31</t>
  </si>
  <si>
    <t>US194266AB80</t>
  </si>
  <si>
    <t>US194268AB47</t>
  </si>
  <si>
    <t>US19458LBB53</t>
  </si>
  <si>
    <t>US19458LBC37</t>
  </si>
  <si>
    <t>US19458LBG41</t>
  </si>
  <si>
    <t>US19458LBH24</t>
  </si>
  <si>
    <t>US36156HAP38</t>
  </si>
  <si>
    <t>US36156HAX61</t>
  </si>
  <si>
    <t>US36156YAC57</t>
  </si>
  <si>
    <t>US36156YAP60</t>
  </si>
  <si>
    <t>US38021AAB89</t>
  </si>
  <si>
    <t>US64031QCS84</t>
  </si>
  <si>
    <t>US64032FAG90</t>
  </si>
  <si>
    <t>US708788AB03</t>
  </si>
  <si>
    <t>US709163GH61</t>
  </si>
  <si>
    <t>US78442GRN87</t>
  </si>
  <si>
    <t>US78442GRQ19</t>
  </si>
  <si>
    <t>US78442GRX69</t>
  </si>
  <si>
    <t>US78442GSD96</t>
  </si>
  <si>
    <t>US78442GSJ66</t>
  </si>
  <si>
    <t>US78442GSK30</t>
  </si>
  <si>
    <t>US78442GSL13</t>
  </si>
  <si>
    <t>US78443BAE65</t>
  </si>
  <si>
    <t>US78443BAG14</t>
  </si>
  <si>
    <t>US78443GAF28</t>
  </si>
  <si>
    <t>US78443HAC79</t>
  </si>
  <si>
    <t>US78443HAD52</t>
  </si>
  <si>
    <t>US78443HAE36</t>
  </si>
  <si>
    <t>US78443HAF01</t>
  </si>
  <si>
    <t>US78443KAE64</t>
  </si>
  <si>
    <t>US78443KAF30</t>
  </si>
  <si>
    <t>US78443VAD47</t>
  </si>
  <si>
    <t>US78443VAG77</t>
  </si>
  <si>
    <t>US78444AAD90</t>
  </si>
  <si>
    <t>US78444AAE73</t>
  </si>
  <si>
    <t>US78444EAB56</t>
  </si>
  <si>
    <t>US78444EAD13</t>
  </si>
  <si>
    <t>US83149EAE77</t>
  </si>
  <si>
    <t>US83149EAH09</t>
  </si>
  <si>
    <t>US83149FAC86</t>
  </si>
  <si>
    <t>US83714RBB87</t>
  </si>
  <si>
    <t>US86800NAB64</t>
  </si>
  <si>
    <t>US86800NAC48</t>
  </si>
  <si>
    <t>US90342NAB38</t>
  </si>
  <si>
    <t>US90342NAY31</t>
  </si>
  <si>
    <t>US92978JAE38</t>
  </si>
  <si>
    <t>XS0235351904</t>
  </si>
  <si>
    <t>XS0235359048</t>
  </si>
  <si>
    <t>XS0254562209</t>
  </si>
  <si>
    <t>XS0255777103</t>
  </si>
  <si>
    <t>CPR</t>
  </si>
  <si>
    <t>PPS</t>
  </si>
  <si>
    <t>PPC</t>
  </si>
  <si>
    <t>CLR</t>
  </si>
  <si>
    <t>US64031QCG47</t>
  </si>
  <si>
    <t>System</t>
  </si>
  <si>
    <t>Notional</t>
  </si>
  <si>
    <t>MTG FACTOR</t>
  </si>
  <si>
    <t>Prime</t>
  </si>
  <si>
    <t>Summit</t>
  </si>
  <si>
    <t>CF LastPmt</t>
  </si>
  <si>
    <t>BB mat</t>
  </si>
  <si>
    <t>Mat &gt; LastPmt</t>
  </si>
  <si>
    <t>Current Balance</t>
  </si>
  <si>
    <t>CF Factor</t>
  </si>
  <si>
    <t>BB Factor</t>
  </si>
  <si>
    <t>CF factor=BB factor</t>
  </si>
  <si>
    <t>Status</t>
  </si>
  <si>
    <t>NOT OK</t>
  </si>
  <si>
    <t>OK</t>
  </si>
  <si>
    <t>US001621AB79</t>
  </si>
  <si>
    <t>US001621AC52</t>
  </si>
  <si>
    <t>US00432CCF68</t>
  </si>
  <si>
    <t>US00432CCG42</t>
  </si>
  <si>
    <t>US00432CCM10</t>
  </si>
  <si>
    <t>US00432CCP41</t>
  </si>
  <si>
    <t>US00432CDB46</t>
  </si>
  <si>
    <t>US00432CDN83</t>
  </si>
  <si>
    <t>US00432CDP32</t>
  </si>
  <si>
    <t>US01551DAJ19</t>
  </si>
  <si>
    <t>US01551DAK81</t>
  </si>
  <si>
    <t>US01551DAL64</t>
  </si>
  <si>
    <t>US040504FK32</t>
  </si>
  <si>
    <t>US10620NAE85</t>
  </si>
  <si>
    <t>US10620NAJ72</t>
  </si>
  <si>
    <t>US10620NAK46</t>
  </si>
  <si>
    <t>US10620NAN84</t>
  </si>
  <si>
    <t>US10620NAX66</t>
  </si>
  <si>
    <t>US106238KS62</t>
  </si>
  <si>
    <t>US106238LE67</t>
  </si>
  <si>
    <t>US12556PAC14</t>
  </si>
  <si>
    <t>US12556PAD96</t>
  </si>
  <si>
    <t>US17284LAA26</t>
  </si>
  <si>
    <t>US194262CQ28</t>
  </si>
  <si>
    <t>US194262CR01</t>
  </si>
  <si>
    <t>US194262CS83</t>
  </si>
  <si>
    <t>US194262CT66</t>
  </si>
  <si>
    <t>US194266AD47</t>
  </si>
  <si>
    <t>US19458LAV27</t>
  </si>
  <si>
    <t>US280907BW52</t>
  </si>
  <si>
    <t>US340640AE18</t>
  </si>
  <si>
    <t>US36156HAQ11</t>
  </si>
  <si>
    <t>US36156HAW88</t>
  </si>
  <si>
    <t>US36156YAD31</t>
  </si>
  <si>
    <t>US36156YAN13</t>
  </si>
  <si>
    <t>US36156YAQ44</t>
  </si>
  <si>
    <t>US38021AAC62</t>
  </si>
  <si>
    <t>US38021AAD46</t>
  </si>
  <si>
    <t>US38021BAB62</t>
  </si>
  <si>
    <t>US38021BAD29</t>
  </si>
  <si>
    <t>US38021DAB29</t>
  </si>
  <si>
    <t>US38021DAC02</t>
  </si>
  <si>
    <t>US38021DAD84</t>
  </si>
  <si>
    <t>US462592AB29</t>
  </si>
  <si>
    <t>US462592AC02</t>
  </si>
  <si>
    <t>US49327HAA32</t>
  </si>
  <si>
    <t>US49327HAB15</t>
  </si>
  <si>
    <t>US612130HN76</t>
  </si>
  <si>
    <t>US612130HP25</t>
  </si>
  <si>
    <t>US640315AC17</t>
  </si>
  <si>
    <t>US640315AE72</t>
  </si>
  <si>
    <t>US64031AAD81</t>
  </si>
  <si>
    <t>US64031AAE64</t>
  </si>
  <si>
    <t>US64031QBJ94</t>
  </si>
  <si>
    <t>US64031QBK67</t>
  </si>
  <si>
    <t>US64031QBR11</t>
  </si>
  <si>
    <t>US64031QBX88</t>
  </si>
  <si>
    <t>US64031QCD16</t>
  </si>
  <si>
    <t>US64031RAS85</t>
  </si>
  <si>
    <t>US64032EAB39</t>
  </si>
  <si>
    <t>US64032EAC12</t>
  </si>
  <si>
    <t>US64032EAD94</t>
  </si>
  <si>
    <t>US64032GAB86</t>
  </si>
  <si>
    <t>US64032GAC69</t>
  </si>
  <si>
    <t>US64032JAD81</t>
  </si>
  <si>
    <t>US64032LAD38</t>
  </si>
  <si>
    <t>US658262DV99</t>
  </si>
  <si>
    <t>US66704JAZ12</t>
  </si>
  <si>
    <t>US66704JBA51</t>
  </si>
  <si>
    <t>US66704JBB35</t>
  </si>
  <si>
    <t>US66704JBC18</t>
  </si>
  <si>
    <t>US66704JBG22</t>
  </si>
  <si>
    <t>US66704JBH05</t>
  </si>
  <si>
    <t>US66704JBV98</t>
  </si>
  <si>
    <t>US708788AC85</t>
  </si>
  <si>
    <t>US709163EK19</t>
  </si>
  <si>
    <t>US784420AD30</t>
  </si>
  <si>
    <t>US784420AJ00</t>
  </si>
  <si>
    <t>US784420AP69</t>
  </si>
  <si>
    <t>US784420AQ43</t>
  </si>
  <si>
    <t>US784422AB30</t>
  </si>
  <si>
    <t>US784422AC13</t>
  </si>
  <si>
    <t>US784423AD78</t>
  </si>
  <si>
    <t>US784423AE51</t>
  </si>
  <si>
    <t>US784423AF27</t>
  </si>
  <si>
    <t>US784423AG00</t>
  </si>
  <si>
    <t>US784427AE65</t>
  </si>
  <si>
    <t>US784427AF31</t>
  </si>
  <si>
    <t>US784428AD65</t>
  </si>
  <si>
    <t>US784428AF14</t>
  </si>
  <si>
    <t>US78442GKE51</t>
  </si>
  <si>
    <t>US78442GKT21</t>
  </si>
  <si>
    <t>US78442GMX15</t>
  </si>
  <si>
    <t>US78442GNC68</t>
  </si>
  <si>
    <t>US78442GNP71</t>
  </si>
  <si>
    <t>US78442GNU66</t>
  </si>
  <si>
    <t>US78442GNV40</t>
  </si>
  <si>
    <t>US78442GPG54</t>
  </si>
  <si>
    <t>US78442GPH38</t>
  </si>
  <si>
    <t>US78442GQE97</t>
  </si>
  <si>
    <t>US78442GQG46</t>
  </si>
  <si>
    <t>US78442GQJ84</t>
  </si>
  <si>
    <t>US78442GQS83</t>
  </si>
  <si>
    <t>US78442GRB40</t>
  </si>
  <si>
    <t>US78443FAD96</t>
  </si>
  <si>
    <t>US78443FAE79</t>
  </si>
  <si>
    <t>US78443FAF45</t>
  </si>
  <si>
    <t>US78443GAE52</t>
  </si>
  <si>
    <t>US78443VAE20</t>
  </si>
  <si>
    <t>US78443XAD03</t>
  </si>
  <si>
    <t>US78443YAD85</t>
  </si>
  <si>
    <t>US78444GAB05</t>
  </si>
  <si>
    <t>US78444NAA72</t>
  </si>
  <si>
    <t>US78444NAB55</t>
  </si>
  <si>
    <t>US78444NAC39</t>
  </si>
  <si>
    <t>US78444NAD12</t>
  </si>
  <si>
    <t>332161DE</t>
  </si>
  <si>
    <t>332075DE</t>
  </si>
  <si>
    <t>362640DE</t>
  </si>
  <si>
    <t>332065DS</t>
  </si>
  <si>
    <t>332160DS</t>
  </si>
  <si>
    <t>332074DS</t>
  </si>
  <si>
    <t>362645DS</t>
  </si>
  <si>
    <t>Bond</t>
  </si>
  <si>
    <t>332066DE</t>
  </si>
  <si>
    <t>H_001725</t>
  </si>
  <si>
    <t>M_006393</t>
  </si>
  <si>
    <t>M_006895</t>
  </si>
  <si>
    <t>M_006576</t>
  </si>
  <si>
    <t>User Defined CPR Speeds</t>
  </si>
  <si>
    <t>Deal ID</t>
  </si>
  <si>
    <t>Trade/ISIN</t>
  </si>
  <si>
    <t>Trade Type</t>
  </si>
  <si>
    <t>BOND</t>
  </si>
  <si>
    <t>SWAP</t>
  </si>
  <si>
    <t>Associated_Bond</t>
  </si>
  <si>
    <t>Summit Identifier</t>
  </si>
  <si>
    <r>
      <t xml:space="preserve">Flag to Run Process - </t>
    </r>
    <r>
      <rPr>
        <b/>
        <sz val="8"/>
        <color indexed="10"/>
        <rFont val="Arial"/>
        <family val="2"/>
      </rPr>
      <t>Anything With "Yes" runs</t>
    </r>
  </si>
  <si>
    <t>Balance G'teed B2B</t>
  </si>
  <si>
    <t>Comment</t>
  </si>
  <si>
    <t>Prepayment Speed</t>
  </si>
  <si>
    <t>In the table below add the CPR Rate that you want to use</t>
  </si>
  <si>
    <t>This will feed the bonds and their associated swaps</t>
  </si>
  <si>
    <t>Below shows the CPR rate that will be used on the Balance G'teed swaps</t>
  </si>
  <si>
    <t>Its driven from the table above</t>
  </si>
  <si>
    <t>Cover to show the Prepayment rate being used</t>
  </si>
  <si>
    <t>Output Files for generated cashflow files</t>
  </si>
  <si>
    <t>This generates a subfolder within the root folder that enables you to store the cvs or txt files by the date you ran them. Keeps it all organized</t>
  </si>
  <si>
    <t>Generate and saved the cashflow files out as per the output folder defined below in A24 -- Also generates a subfolder using the date of running</t>
  </si>
  <si>
    <t>Click here to reset the sates</t>
  </si>
  <si>
    <t>Note</t>
  </si>
  <si>
    <t>Put the word "Yes" into the C column cell beside the trade/bond that you want to run</t>
  </si>
  <si>
    <r>
      <t xml:space="preserve">This generates the Bloomberg feed tables in the ISIN sheet that are used in the generation of the data -its based on the trades flagged as </t>
    </r>
    <r>
      <rPr>
        <b/>
        <sz val="10"/>
        <color indexed="10"/>
        <rFont val="Arial"/>
        <family val="2"/>
      </rPr>
      <t>"Yes"</t>
    </r>
  </si>
  <si>
    <r>
      <t xml:space="preserve">Before you run this utility - please ensure that you have the ISINs&amp; Swaps in the </t>
    </r>
    <r>
      <rPr>
        <b/>
        <sz val="10"/>
        <color indexed="17"/>
        <rFont val="Arial"/>
        <family val="2"/>
      </rPr>
      <t>ISINS_&amp;_SWAPS</t>
    </r>
    <r>
      <rPr>
        <b/>
        <sz val="10"/>
        <color indexed="10"/>
        <rFont val="Arial"/>
        <family val="2"/>
      </rPr>
      <t xml:space="preserve"> tab that you want generated selected from the list</t>
    </r>
  </si>
  <si>
    <t>Yes</t>
  </si>
  <si>
    <t>Coupon Freq</t>
  </si>
  <si>
    <t>CPN_FREQ</t>
  </si>
  <si>
    <t>Q:\001426_DP_IEDU_RISK_IT_QTeam\Test\</t>
  </si>
  <si>
    <t>Generic Bbg WAL</t>
  </si>
  <si>
    <t>New WAL with correct speed</t>
  </si>
  <si>
    <t>mtg_prepay_typ</t>
  </si>
  <si>
    <t>mtg_wal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</si>
</sst>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_-* #,##0.00\ _€_-;\-* #,##0.00\ _€_-;_-* &quot;-&quot;??\ _€_-;_-@_-"/>
    <numFmt numFmtId="165" formatCode="_(* #,##0.00000000_);_(* \(#,##0.00000000\);_(* &quot;-&quot;??_);_(@_)"/>
    <numFmt numFmtId="166" formatCode="_(* #,##0_);_(* \(#,##0\);_(* &quot;-&quot;??_);_(@_)"/>
    <numFmt numFmtId="167" formatCode="_(* #,##0.000_);_(* \(#,##0.000\);_(* &quot;-&quot;??_);_(@_)"/>
    <numFmt numFmtId="168" formatCode="yyyymmdd"/>
    <numFmt numFmtId="169" formatCode="dd/mm/yyyy"/>
  </numFmts>
  <fonts count="48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8.5"/>
      <color indexed="12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name val="Geneva"/>
    </font>
    <font>
      <sz val="9"/>
      <name val="Arial"/>
      <family val="2"/>
    </font>
    <font>
      <b/>
      <sz val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i/>
      <sz val="10"/>
      <name val="Arial"/>
      <family val="2"/>
    </font>
    <font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0"/>
      <color indexed="10"/>
      <name val="Arial"/>
      <family val="2"/>
    </font>
    <font>
      <sz val="10"/>
      <color indexed="8"/>
      <name val="Arial"/>
      <family val="2"/>
    </font>
    <font>
      <b/>
      <sz val="10"/>
      <color indexed="52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b/>
      <sz val="10"/>
      <color indexed="17"/>
      <name val="Arial"/>
      <family val="2"/>
    </font>
    <font>
      <b/>
      <i/>
      <sz val="10"/>
      <name val="Arial"/>
      <family val="2"/>
    </font>
    <font>
      <b/>
      <sz val="8"/>
      <name val="Arial"/>
      <family val="2"/>
    </font>
    <font>
      <b/>
      <sz val="10"/>
      <color indexed="11"/>
      <name val="Arial"/>
      <family val="2"/>
    </font>
    <font>
      <sz val="10"/>
      <color indexed="9"/>
      <name val="Calibri"/>
      <family val="2"/>
    </font>
    <font>
      <sz val="10"/>
      <name val="Calibri"/>
      <family val="2"/>
    </font>
    <font>
      <b/>
      <sz val="8"/>
      <color indexed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</patternFill>
    </fill>
    <fill>
      <patternFill patternType="solid">
        <fgColor indexed="42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5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22"/>
      </right>
      <top/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4" tint="-0.24994659260841701"/>
      </left>
      <right/>
      <top style="medium">
        <color theme="4" tint="-0.24994659260841701"/>
      </top>
      <bottom style="medium">
        <color indexed="64"/>
      </bottom>
      <diagonal/>
    </border>
    <border>
      <left/>
      <right/>
      <top style="medium">
        <color theme="4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theme="4" tint="-0.2499465926084170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theme="4" tint="-0.24994659260841701"/>
      </top>
      <bottom style="medium">
        <color indexed="64"/>
      </bottom>
      <diagonal/>
    </border>
    <border>
      <left/>
      <right style="medium">
        <color indexed="64"/>
      </right>
      <top style="medium">
        <color theme="4" tint="-0.24994659260841701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indexed="64"/>
      </bottom>
      <diagonal/>
    </border>
    <border>
      <left style="medium">
        <color theme="4" tint="-0.24994659260841701"/>
      </left>
      <right/>
      <top/>
      <bottom/>
      <diagonal/>
    </border>
    <border>
      <left style="medium">
        <color indexed="64"/>
      </left>
      <right style="medium">
        <color theme="4" tint="-0.24994659260841701"/>
      </right>
      <top/>
      <bottom/>
      <diagonal/>
    </border>
    <border>
      <left style="medium">
        <color theme="4" tint="-0.24994659260841701"/>
      </left>
      <right/>
      <top/>
      <bottom style="medium">
        <color theme="4" tint="-0.24994659260841701"/>
      </bottom>
      <diagonal/>
    </border>
    <border>
      <left/>
      <right/>
      <top/>
      <bottom style="medium">
        <color theme="4" tint="-0.24994659260841701"/>
      </bottom>
      <diagonal/>
    </border>
    <border>
      <left style="medium">
        <color indexed="64"/>
      </left>
      <right/>
      <top/>
      <bottom style="medium">
        <color theme="4" tint="-0.24994659260841701"/>
      </bottom>
      <diagonal/>
    </border>
    <border>
      <left/>
      <right style="medium">
        <color indexed="64"/>
      </right>
      <top/>
      <bottom style="medium">
        <color theme="4" tint="-0.24994659260841701"/>
      </bottom>
      <diagonal/>
    </border>
    <border>
      <left style="medium">
        <color indexed="64"/>
      </left>
      <right style="medium">
        <color theme="4" tint="-0.24994659260841701"/>
      </right>
      <top/>
      <bottom style="medium">
        <color theme="4" tint="-0.24994659260841701"/>
      </bottom>
      <diagonal/>
    </border>
    <border>
      <left style="medium">
        <color indexed="64"/>
      </left>
      <right style="medium">
        <color indexed="64"/>
      </right>
      <top/>
      <bottom style="medium">
        <color theme="4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theme="4" tint="-0.24994659260841701"/>
      </top>
      <bottom/>
      <diagonal/>
    </border>
    <border>
      <left style="double">
        <color theme="4" tint="-0.24994659260841701"/>
      </left>
      <right style="double">
        <color theme="4" tint="-0.24994659260841701"/>
      </right>
      <top style="double">
        <color theme="4" tint="-0.24994659260841701"/>
      </top>
      <bottom/>
      <diagonal/>
    </border>
    <border>
      <left style="double">
        <color theme="4" tint="-0.24994659260841701"/>
      </left>
      <right style="double">
        <color theme="4" tint="-0.24994659260841701"/>
      </right>
      <top/>
      <bottom/>
      <diagonal/>
    </border>
    <border>
      <left style="double">
        <color theme="4" tint="-0.24994659260841701"/>
      </left>
      <right style="double">
        <color theme="4" tint="-0.24994659260841701"/>
      </right>
      <top/>
      <bottom style="double">
        <color theme="4" tint="-0.24994659260841701"/>
      </bottom>
      <diagonal/>
    </border>
  </borders>
  <cellStyleXfs count="45">
    <xf numFmtId="0" fontId="0" fillId="0" borderId="0"/>
    <xf numFmtId="0" fontId="1" fillId="0" borderId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6" borderId="0" applyNumberFormat="0" applyBorder="0" applyAlignment="0" applyProtection="0"/>
    <xf numFmtId="0" fontId="3" fillId="9" borderId="0" applyNumberFormat="0" applyBorder="0" applyAlignment="0" applyProtection="0"/>
    <xf numFmtId="0" fontId="3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20" borderId="0" applyNumberFormat="0" applyBorder="0" applyAlignment="0" applyProtection="0"/>
    <xf numFmtId="0" fontId="5" fillId="4" borderId="0" applyNumberFormat="0" applyBorder="0" applyAlignment="0" applyProtection="0"/>
    <xf numFmtId="0" fontId="6" fillId="21" borderId="5" applyNumberFormat="0" applyAlignment="0" applyProtection="0"/>
    <xf numFmtId="0" fontId="7" fillId="22" borderId="6" applyNumberFormat="0" applyAlignment="0" applyProtection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5" borderId="0" applyNumberFormat="0" applyBorder="0" applyAlignment="0" applyProtection="0"/>
    <xf numFmtId="0" fontId="10" fillId="0" borderId="9" applyNumberFormat="0" applyFill="0" applyAlignment="0" applyProtection="0"/>
    <xf numFmtId="0" fontId="11" fillId="0" borderId="10" applyNumberFormat="0" applyFill="0" applyAlignment="0" applyProtection="0"/>
    <xf numFmtId="0" fontId="12" fillId="0" borderId="11" applyNumberFormat="0" applyFill="0" applyAlignment="0" applyProtection="0"/>
    <xf numFmtId="0" fontId="12" fillId="0" borderId="0" applyNumberForma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13" fillId="8" borderId="5" applyNumberFormat="0" applyAlignment="0" applyProtection="0"/>
    <xf numFmtId="0" fontId="14" fillId="0" borderId="12" applyNumberFormat="0" applyFill="0" applyAlignment="0" applyProtection="0"/>
    <xf numFmtId="0" fontId="15" fillId="2" borderId="0" applyNumberFormat="0" applyBorder="0" applyAlignment="0" applyProtection="0"/>
    <xf numFmtId="0" fontId="16" fillId="27" borderId="13" applyNumberFormat="0" applyFont="0" applyAlignment="0" applyProtection="0"/>
    <xf numFmtId="0" fontId="17" fillId="21" borderId="14" applyNumberFormat="0" applyAlignment="0" applyProtection="0"/>
    <xf numFmtId="0" fontId="18" fillId="0" borderId="0" applyNumberFormat="0" applyFill="0" applyBorder="0" applyAlignment="0" applyProtection="0"/>
    <xf numFmtId="0" fontId="19" fillId="0" borderId="16" applyNumberFormat="0" applyFill="0" applyAlignment="0" applyProtection="0"/>
    <xf numFmtId="0" fontId="20" fillId="0" borderId="0" applyNumberFormat="0" applyFill="0" applyBorder="0" applyAlignment="0" applyProtection="0"/>
  </cellStyleXfs>
  <cellXfs count="22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2" fillId="0" borderId="0" xfId="0" applyFont="1"/>
    <xf numFmtId="0" fontId="0" fillId="0" borderId="2" xfId="0" applyBorder="1"/>
    <xf numFmtId="0" fontId="0" fillId="0" borderId="17" xfId="0" applyBorder="1"/>
    <xf numFmtId="0" fontId="1" fillId="24" borderId="13" xfId="0" applyFont="1" applyFill="1" applyBorder="1" applyAlignment="1">
      <alignment wrapText="1"/>
    </xf>
    <xf numFmtId="0" fontId="1" fillId="25" borderId="13" xfId="0" applyFont="1" applyFill="1" applyBorder="1" applyAlignment="1">
      <alignment wrapText="1"/>
    </xf>
    <xf numFmtId="0" fontId="1" fillId="24" borderId="18" xfId="0" applyFont="1" applyFill="1" applyBorder="1" applyAlignment="1">
      <alignment wrapText="1"/>
    </xf>
    <xf numFmtId="0" fontId="1" fillId="24" borderId="19" xfId="0" applyFont="1" applyFill="1" applyBorder="1" applyAlignment="1">
      <alignment wrapText="1"/>
    </xf>
    <xf numFmtId="0" fontId="1" fillId="24" borderId="20" xfId="0" applyFont="1" applyFill="1" applyBorder="1" applyAlignment="1">
      <alignment wrapText="1"/>
    </xf>
    <xf numFmtId="167" fontId="30" fillId="0" borderId="0" xfId="29" applyNumberFormat="1" applyFont="1" applyAlignment="1">
      <alignment horizontal="left"/>
    </xf>
    <xf numFmtId="0" fontId="23" fillId="28" borderId="13" xfId="0" applyFont="1" applyFill="1" applyBorder="1" applyAlignment="1"/>
    <xf numFmtId="0" fontId="23" fillId="29" borderId="13" xfId="0" applyFont="1" applyFill="1" applyBorder="1" applyAlignment="1"/>
    <xf numFmtId="0" fontId="31" fillId="28" borderId="20" xfId="0" applyFont="1" applyFill="1" applyBorder="1" applyAlignment="1"/>
    <xf numFmtId="166" fontId="1" fillId="0" borderId="0" xfId="29" applyNumberFormat="1"/>
    <xf numFmtId="49" fontId="0" fillId="0" borderId="0" xfId="0" applyNumberFormat="1"/>
    <xf numFmtId="0" fontId="16" fillId="30" borderId="7" xfId="0" applyFont="1" applyFill="1" applyBorder="1"/>
    <xf numFmtId="166" fontId="16" fillId="30" borderId="7" xfId="29" applyNumberFormat="1" applyFont="1" applyFill="1" applyBorder="1"/>
    <xf numFmtId="0" fontId="0" fillId="0" borderId="21" xfId="0" applyBorder="1"/>
    <xf numFmtId="166" fontId="0" fillId="0" borderId="22" xfId="0" applyNumberFormat="1" applyFill="1" applyBorder="1"/>
    <xf numFmtId="0" fontId="0" fillId="0" borderId="23" xfId="0" applyFill="1" applyBorder="1" applyAlignment="1">
      <alignment horizontal="center"/>
    </xf>
    <xf numFmtId="165" fontId="1" fillId="0" borderId="0" xfId="29" applyNumberFormat="1" applyFill="1" applyBorder="1" applyAlignment="1">
      <alignment horizontal="center"/>
    </xf>
    <xf numFmtId="0" fontId="0" fillId="0" borderId="24" xfId="0" applyBorder="1"/>
    <xf numFmtId="0" fontId="0" fillId="0" borderId="1" xfId="0" applyBorder="1"/>
    <xf numFmtId="4" fontId="0" fillId="0" borderId="0" xfId="0" applyNumberFormat="1" applyAlignment="1">
      <alignment horizontal="right"/>
    </xf>
    <xf numFmtId="0" fontId="2" fillId="0" borderId="0" xfId="0" applyNumberFormat="1" applyFont="1"/>
    <xf numFmtId="166" fontId="0" fillId="0" borderId="15" xfId="29" applyNumberFormat="1" applyFont="1" applyBorder="1"/>
    <xf numFmtId="166" fontId="0" fillId="0" borderId="17" xfId="29" applyNumberFormat="1" applyFont="1" applyBorder="1"/>
    <xf numFmtId="0" fontId="23" fillId="28" borderId="0" xfId="0" applyFont="1" applyFill="1" applyBorder="1" applyAlignment="1"/>
    <xf numFmtId="166" fontId="0" fillId="0" borderId="0" xfId="29" applyNumberFormat="1" applyFont="1" applyBorder="1"/>
    <xf numFmtId="166" fontId="0" fillId="0" borderId="1" xfId="29" applyNumberFormat="1" applyFont="1" applyBorder="1"/>
    <xf numFmtId="0" fontId="31" fillId="29" borderId="0" xfId="0" applyFont="1" applyFill="1" applyBorder="1" applyAlignment="1"/>
    <xf numFmtId="0" fontId="23" fillId="29" borderId="0" xfId="0" applyFont="1" applyFill="1" applyBorder="1" applyAlignment="1"/>
    <xf numFmtId="0" fontId="29" fillId="25" borderId="0" xfId="0" applyFont="1" applyFill="1"/>
    <xf numFmtId="0" fontId="29" fillId="25" borderId="13" xfId="0" applyFont="1" applyFill="1" applyBorder="1"/>
    <xf numFmtId="0" fontId="1" fillId="25" borderId="13" xfId="0" applyFont="1" applyFill="1" applyBorder="1"/>
    <xf numFmtId="0" fontId="31" fillId="29" borderId="13" xfId="0" applyFont="1" applyFill="1" applyBorder="1" applyAlignment="1"/>
    <xf numFmtId="0" fontId="16" fillId="25" borderId="13" xfId="0" applyFont="1" applyFill="1" applyBorder="1"/>
    <xf numFmtId="0" fontId="32" fillId="28" borderId="13" xfId="0" applyFont="1" applyFill="1" applyBorder="1" applyAlignment="1"/>
    <xf numFmtId="0" fontId="1" fillId="24" borderId="13" xfId="0" applyFont="1" applyFill="1" applyBorder="1"/>
    <xf numFmtId="0" fontId="23" fillId="28" borderId="19" xfId="0" applyFont="1" applyFill="1" applyBorder="1" applyAlignment="1"/>
    <xf numFmtId="0" fontId="33" fillId="28" borderId="19" xfId="0" applyFont="1" applyFill="1" applyBorder="1" applyAlignment="1"/>
    <xf numFmtId="0" fontId="1" fillId="24" borderId="19" xfId="0" applyFont="1" applyFill="1" applyBorder="1"/>
    <xf numFmtId="0" fontId="23" fillId="29" borderId="19" xfId="0" applyFont="1" applyFill="1" applyBorder="1" applyAlignment="1"/>
    <xf numFmtId="0" fontId="23" fillId="28" borderId="20" xfId="0" applyFont="1" applyFill="1" applyBorder="1" applyAlignment="1"/>
    <xf numFmtId="0" fontId="16" fillId="28" borderId="20" xfId="0" applyFont="1" applyFill="1" applyBorder="1" applyAlignment="1"/>
    <xf numFmtId="0" fontId="16" fillId="0" borderId="21" xfId="0" applyFont="1" applyBorder="1"/>
    <xf numFmtId="0" fontId="33" fillId="28" borderId="20" xfId="0" applyFont="1" applyFill="1" applyBorder="1" applyAlignment="1"/>
    <xf numFmtId="0" fontId="23" fillId="29" borderId="20" xfId="0" applyFont="1" applyFill="1" applyBorder="1" applyAlignment="1"/>
    <xf numFmtId="0" fontId="1" fillId="24" borderId="20" xfId="0" applyFont="1" applyFill="1" applyBorder="1"/>
    <xf numFmtId="0" fontId="31" fillId="29" borderId="20" xfId="0" applyFont="1" applyFill="1" applyBorder="1" applyAlignment="1"/>
    <xf numFmtId="0" fontId="23" fillId="29" borderId="25" xfId="0" applyFont="1" applyFill="1" applyBorder="1" applyAlignment="1"/>
    <xf numFmtId="0" fontId="0" fillId="0" borderId="26" xfId="0" applyBorder="1"/>
    <xf numFmtId="166" fontId="0" fillId="0" borderId="3" xfId="29" applyNumberFormat="1" applyFont="1" applyBorder="1"/>
    <xf numFmtId="166" fontId="0" fillId="0" borderId="26" xfId="29" applyNumberFormat="1" applyFont="1" applyBorder="1"/>
    <xf numFmtId="0" fontId="34" fillId="0" borderId="0" xfId="0" applyNumberFormat="1" applyFont="1"/>
    <xf numFmtId="0" fontId="0" fillId="0" borderId="0" xfId="0" applyAlignment="1"/>
    <xf numFmtId="0" fontId="22" fillId="0" borderId="27" xfId="0" applyFont="1" applyBorder="1"/>
    <xf numFmtId="0" fontId="22" fillId="0" borderId="28" xfId="0" applyFont="1" applyBorder="1"/>
    <xf numFmtId="0" fontId="22" fillId="0" borderId="28" xfId="0" applyFont="1" applyBorder="1" applyAlignment="1">
      <alignment horizontal="center"/>
    </xf>
    <xf numFmtId="0" fontId="35" fillId="0" borderId="29" xfId="0" applyFont="1" applyBorder="1"/>
    <xf numFmtId="0" fontId="35" fillId="0" borderId="29" xfId="0" applyFont="1" applyBorder="1" applyAlignment="1">
      <alignment horizontal="center"/>
    </xf>
    <xf numFmtId="0" fontId="22" fillId="24" borderId="0" xfId="0" applyFont="1" applyFill="1" applyBorder="1" applyAlignment="1">
      <alignment wrapText="1"/>
    </xf>
    <xf numFmtId="0" fontId="22" fillId="0" borderId="21" xfId="0" applyFont="1" applyBorder="1"/>
    <xf numFmtId="166" fontId="22" fillId="0" borderId="22" xfId="0" applyNumberFormat="1" applyFont="1" applyFill="1" applyBorder="1"/>
    <xf numFmtId="0" fontId="22" fillId="0" borderId="23" xfId="0" applyFont="1" applyFill="1" applyBorder="1" applyAlignment="1">
      <alignment horizontal="center"/>
    </xf>
    <xf numFmtId="0" fontId="36" fillId="28" borderId="0" xfId="0" applyFont="1" applyFill="1" applyBorder="1" applyAlignment="1"/>
    <xf numFmtId="0" fontId="22" fillId="0" borderId="2" xfId="0" applyFont="1" applyBorder="1" applyAlignment="1"/>
    <xf numFmtId="0" fontId="22" fillId="0" borderId="0" xfId="0" applyFont="1" applyBorder="1" applyAlignment="1"/>
    <xf numFmtId="14" fontId="22" fillId="0" borderId="0" xfId="0" applyNumberFormat="1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22" fillId="0" borderId="0" xfId="29" applyNumberFormat="1" applyFont="1" applyBorder="1" applyAlignment="1">
      <alignment horizontal="center"/>
    </xf>
    <xf numFmtId="0" fontId="22" fillId="0" borderId="0" xfId="0" applyFont="1" applyBorder="1"/>
    <xf numFmtId="0" fontId="22" fillId="0" borderId="21" xfId="0" applyFont="1" applyBorder="1" applyAlignment="1"/>
    <xf numFmtId="14" fontId="22" fillId="0" borderId="30" xfId="0" applyNumberFormat="1" applyFont="1" applyBorder="1" applyAlignment="1">
      <alignment horizontal="left"/>
    </xf>
    <xf numFmtId="0" fontId="22" fillId="0" borderId="8" xfId="0" applyFont="1" applyBorder="1" applyAlignment="1">
      <alignment horizontal="left"/>
    </xf>
    <xf numFmtId="166" fontId="22" fillId="0" borderId="8" xfId="29" applyNumberFormat="1" applyFont="1" applyBorder="1" applyAlignment="1">
      <alignment horizontal="left"/>
    </xf>
    <xf numFmtId="43" fontId="22" fillId="0" borderId="8" xfId="29" applyFont="1" applyBorder="1" applyAlignment="1">
      <alignment horizontal="left"/>
    </xf>
    <xf numFmtId="0" fontId="22" fillId="0" borderId="31" xfId="0" applyFont="1" applyBorder="1" applyAlignment="1">
      <alignment horizontal="left"/>
    </xf>
    <xf numFmtId="0" fontId="22" fillId="0" borderId="32" xfId="0" applyFont="1" applyBorder="1"/>
    <xf numFmtId="0" fontId="22" fillId="0" borderId="0" xfId="0" applyFont="1"/>
    <xf numFmtId="14" fontId="22" fillId="0" borderId="0" xfId="0" applyNumberFormat="1" applyFont="1"/>
    <xf numFmtId="166" fontId="22" fillId="0" borderId="0" xfId="29" applyNumberFormat="1" applyFont="1"/>
    <xf numFmtId="165" fontId="22" fillId="0" borderId="0" xfId="29" applyNumberFormat="1" applyFont="1" applyFill="1" applyBorder="1" applyAlignment="1">
      <alignment horizontal="center"/>
    </xf>
    <xf numFmtId="0" fontId="37" fillId="0" borderId="0" xfId="0" applyFont="1"/>
    <xf numFmtId="0" fontId="16" fillId="23" borderId="0" xfId="0" applyFont="1" applyFill="1" applyBorder="1"/>
    <xf numFmtId="43" fontId="16" fillId="23" borderId="0" xfId="29" applyFont="1" applyFill="1" applyBorder="1"/>
    <xf numFmtId="0" fontId="16" fillId="23" borderId="20" xfId="0" applyFont="1" applyFill="1" applyBorder="1"/>
    <xf numFmtId="0" fontId="16" fillId="23" borderId="0" xfId="0" applyFont="1" applyFill="1" applyBorder="1" applyAlignment="1">
      <alignment horizontal="left"/>
    </xf>
    <xf numFmtId="14" fontId="16" fillId="23" borderId="0" xfId="0" applyNumberFormat="1" applyFont="1" applyFill="1" applyBorder="1" applyAlignment="1">
      <alignment horizontal="left"/>
    </xf>
    <xf numFmtId="168" fontId="16" fillId="23" borderId="0" xfId="0" applyNumberFormat="1" applyFont="1" applyFill="1" applyBorder="1" applyAlignment="1">
      <alignment horizontal="left"/>
    </xf>
    <xf numFmtId="0" fontId="0" fillId="26" borderId="33" xfId="0" applyFill="1" applyBorder="1" applyAlignment="1"/>
    <xf numFmtId="0" fontId="0" fillId="26" borderId="34" xfId="0" applyFill="1" applyBorder="1" applyAlignment="1"/>
    <xf numFmtId="0" fontId="0" fillId="26" borderId="34" xfId="0" applyFill="1" applyBorder="1"/>
    <xf numFmtId="0" fontId="0" fillId="26" borderId="4" xfId="0" applyFill="1" applyBorder="1" applyAlignment="1"/>
    <xf numFmtId="0" fontId="0" fillId="26" borderId="4" xfId="0" applyFill="1" applyBorder="1"/>
    <xf numFmtId="0" fontId="2" fillId="0" borderId="0" xfId="0" applyFont="1" applyAlignment="1"/>
    <xf numFmtId="14" fontId="0" fillId="0" borderId="0" xfId="0" applyNumberFormat="1" applyAlignment="1"/>
    <xf numFmtId="0" fontId="16" fillId="23" borderId="35" xfId="0" applyFont="1" applyFill="1" applyBorder="1" applyAlignment="1">
      <alignment horizontal="left"/>
    </xf>
    <xf numFmtId="0" fontId="38" fillId="23" borderId="36" xfId="0" applyFont="1" applyFill="1" applyBorder="1" applyAlignment="1">
      <alignment horizontal="left"/>
    </xf>
    <xf numFmtId="0" fontId="16" fillId="26" borderId="20" xfId="0" applyFont="1" applyFill="1" applyBorder="1" applyAlignment="1">
      <alignment horizontal="left"/>
    </xf>
    <xf numFmtId="0" fontId="16" fillId="26" borderId="37" xfId="0" applyFont="1" applyFill="1" applyBorder="1" applyAlignment="1">
      <alignment horizontal="left"/>
    </xf>
    <xf numFmtId="0" fontId="2" fillId="23" borderId="0" xfId="0" applyFont="1" applyFill="1" applyBorder="1" applyAlignment="1">
      <alignment wrapText="1"/>
    </xf>
    <xf numFmtId="0" fontId="16" fillId="23" borderId="37" xfId="0" applyFont="1" applyFill="1" applyBorder="1" applyAlignment="1">
      <alignment horizontal="left"/>
    </xf>
    <xf numFmtId="2" fontId="0" fillId="0" borderId="0" xfId="0" applyNumberFormat="1"/>
    <xf numFmtId="14" fontId="0" fillId="26" borderId="38" xfId="0" applyNumberFormat="1" applyFill="1" applyBorder="1" applyAlignment="1"/>
    <xf numFmtId="0" fontId="0" fillId="26" borderId="25" xfId="0" applyFill="1" applyBorder="1" applyAlignment="1"/>
    <xf numFmtId="0" fontId="40" fillId="0" borderId="0" xfId="0" applyFont="1"/>
    <xf numFmtId="0" fontId="0" fillId="0" borderId="0" xfId="0" applyBorder="1" applyAlignment="1"/>
    <xf numFmtId="0" fontId="2" fillId="26" borderId="25" xfId="0" applyFont="1" applyFill="1" applyBorder="1" applyAlignment="1"/>
    <xf numFmtId="0" fontId="32" fillId="0" borderId="0" xfId="0" applyFont="1"/>
    <xf numFmtId="0" fontId="30" fillId="0" borderId="0" xfId="0" applyFont="1"/>
    <xf numFmtId="0" fontId="21" fillId="0" borderId="0" xfId="36" applyFont="1" applyAlignment="1" applyProtection="1"/>
    <xf numFmtId="0" fontId="22" fillId="26" borderId="33" xfId="0" applyFont="1" applyFill="1" applyBorder="1" applyAlignment="1">
      <alignment horizontal="center"/>
    </xf>
    <xf numFmtId="1" fontId="22" fillId="26" borderId="38" xfId="0" applyNumberFormat="1" applyFont="1" applyFill="1" applyBorder="1" applyAlignment="1">
      <alignment horizontal="center"/>
    </xf>
    <xf numFmtId="0" fontId="22" fillId="26" borderId="20" xfId="0" applyFont="1" applyFill="1" applyBorder="1" applyAlignment="1">
      <alignment horizontal="center"/>
    </xf>
    <xf numFmtId="1" fontId="22" fillId="26" borderId="37" xfId="0" applyNumberFormat="1" applyFont="1" applyFill="1" applyBorder="1" applyAlignment="1">
      <alignment horizontal="center"/>
    </xf>
    <xf numFmtId="0" fontId="35" fillId="23" borderId="36" xfId="0" applyFont="1" applyFill="1" applyBorder="1" applyAlignment="1">
      <alignment horizontal="center" wrapText="1"/>
    </xf>
    <xf numFmtId="0" fontId="22" fillId="23" borderId="0" xfId="0" applyFont="1" applyFill="1" applyBorder="1" applyAlignment="1">
      <alignment horizontal="center"/>
    </xf>
    <xf numFmtId="0" fontId="22" fillId="23" borderId="37" xfId="0" applyFont="1" applyFill="1" applyBorder="1" applyAlignment="1">
      <alignment horizontal="center"/>
    </xf>
    <xf numFmtId="1" fontId="22" fillId="23" borderId="20" xfId="0" applyNumberFormat="1" applyFont="1" applyFill="1" applyBorder="1" applyAlignment="1">
      <alignment horizontal="center" wrapText="1"/>
    </xf>
    <xf numFmtId="1" fontId="39" fillId="31" borderId="20" xfId="0" applyNumberFormat="1" applyFont="1" applyFill="1" applyBorder="1" applyAlignment="1">
      <alignment horizontal="center" wrapText="1"/>
    </xf>
    <xf numFmtId="1" fontId="35" fillId="31" borderId="20" xfId="0" applyNumberFormat="1" applyFont="1" applyFill="1" applyBorder="1" applyAlignment="1">
      <alignment horizontal="center" wrapText="1"/>
    </xf>
    <xf numFmtId="0" fontId="4" fillId="17" borderId="0" xfId="20" applyBorder="1"/>
    <xf numFmtId="0" fontId="4" fillId="17" borderId="33" xfId="20" applyBorder="1"/>
    <xf numFmtId="0" fontId="4" fillId="17" borderId="34" xfId="20" applyBorder="1"/>
    <xf numFmtId="43" fontId="4" fillId="17" borderId="34" xfId="20" applyNumberFormat="1" applyBorder="1"/>
    <xf numFmtId="0" fontId="4" fillId="17" borderId="38" xfId="20" applyBorder="1" applyAlignment="1">
      <alignment horizontal="left"/>
    </xf>
    <xf numFmtId="0" fontId="4" fillId="17" borderId="33" xfId="20" applyBorder="1" applyAlignment="1">
      <alignment horizontal="left"/>
    </xf>
    <xf numFmtId="0" fontId="4" fillId="17" borderId="38" xfId="20" applyBorder="1"/>
    <xf numFmtId="0" fontId="16" fillId="31" borderId="0" xfId="0" applyFont="1" applyFill="1"/>
    <xf numFmtId="1" fontId="39" fillId="31" borderId="0" xfId="0" applyNumberFormat="1" applyFont="1" applyFill="1" applyBorder="1" applyAlignment="1">
      <alignment horizontal="center" wrapText="1"/>
    </xf>
    <xf numFmtId="1" fontId="22" fillId="31" borderId="20" xfId="0" applyNumberFormat="1" applyFont="1" applyFill="1" applyBorder="1" applyAlignment="1">
      <alignment horizontal="center" wrapText="1"/>
    </xf>
    <xf numFmtId="0" fontId="22" fillId="31" borderId="0" xfId="0" applyFont="1" applyFill="1" applyBorder="1" applyAlignment="1">
      <alignment horizontal="center"/>
    </xf>
    <xf numFmtId="43" fontId="22" fillId="31" borderId="0" xfId="29" applyFont="1" applyFill="1" applyBorder="1" applyAlignment="1">
      <alignment horizontal="center"/>
    </xf>
    <xf numFmtId="0" fontId="16" fillId="31" borderId="0" xfId="0" applyFont="1" applyFill="1" applyBorder="1"/>
    <xf numFmtId="43" fontId="16" fillId="31" borderId="0" xfId="29" applyFont="1" applyFill="1" applyBorder="1"/>
    <xf numFmtId="0" fontId="16" fillId="31" borderId="0" xfId="0" applyFont="1" applyFill="1" applyBorder="1" applyAlignment="1">
      <alignment horizontal="left"/>
    </xf>
    <xf numFmtId="1" fontId="22" fillId="31" borderId="0" xfId="0" applyNumberFormat="1" applyFont="1" applyFill="1" applyBorder="1" applyAlignment="1">
      <alignment horizontal="center"/>
    </xf>
    <xf numFmtId="0" fontId="44" fillId="31" borderId="0" xfId="0" applyFont="1" applyFill="1" applyBorder="1"/>
    <xf numFmtId="0" fontId="0" fillId="31" borderId="0" xfId="0" applyFill="1" applyBorder="1"/>
    <xf numFmtId="0" fontId="0" fillId="31" borderId="0" xfId="0" applyNumberFormat="1" applyFill="1" applyBorder="1"/>
    <xf numFmtId="0" fontId="24" fillId="31" borderId="0" xfId="0" applyFont="1" applyFill="1" applyBorder="1" applyAlignment="1">
      <alignment horizontal="center"/>
    </xf>
    <xf numFmtId="0" fontId="42" fillId="31" borderId="0" xfId="31" applyFont="1" applyFill="1" applyBorder="1" applyAlignment="1">
      <alignment horizontal="center"/>
    </xf>
    <xf numFmtId="0" fontId="16" fillId="31" borderId="0" xfId="31" applyFont="1" applyFill="1" applyBorder="1" applyAlignment="1">
      <alignment horizontal="center"/>
    </xf>
    <xf numFmtId="0" fontId="16" fillId="31" borderId="0" xfId="0" applyFont="1" applyFill="1" applyBorder="1" applyAlignment="1">
      <alignment horizontal="center"/>
    </xf>
    <xf numFmtId="0" fontId="16" fillId="31" borderId="0" xfId="0" applyFont="1" applyFill="1" applyBorder="1" applyAlignment="1">
      <alignment horizontal="center"/>
    </xf>
    <xf numFmtId="0" fontId="16" fillId="31" borderId="0" xfId="0" applyFont="1" applyFill="1" applyBorder="1" applyAlignment="1">
      <alignment horizontal="center"/>
    </xf>
    <xf numFmtId="0" fontId="39" fillId="31" borderId="0" xfId="0" applyFont="1" applyFill="1" applyBorder="1"/>
    <xf numFmtId="0" fontId="16" fillId="31" borderId="20" xfId="0" applyFont="1" applyFill="1" applyBorder="1"/>
    <xf numFmtId="0" fontId="35" fillId="26" borderId="0" xfId="0" applyFont="1" applyFill="1" applyBorder="1" applyAlignment="1">
      <alignment horizontal="center" wrapText="1"/>
    </xf>
    <xf numFmtId="1" fontId="22" fillId="31" borderId="0" xfId="0" applyNumberFormat="1" applyFont="1" applyFill="1" applyBorder="1" applyAlignment="1">
      <alignment horizontal="center" wrapText="1"/>
    </xf>
    <xf numFmtId="1" fontId="22" fillId="23" borderId="33" xfId="0" applyNumberFormat="1" applyFont="1" applyFill="1" applyBorder="1" applyAlignment="1">
      <alignment horizontal="center" wrapText="1"/>
    </xf>
    <xf numFmtId="166" fontId="16" fillId="31" borderId="0" xfId="0" applyNumberFormat="1" applyFont="1" applyFill="1" applyBorder="1" applyAlignment="1">
      <alignment horizontal="left"/>
    </xf>
    <xf numFmtId="0" fontId="22" fillId="32" borderId="0" xfId="0" applyFont="1" applyFill="1" applyBorder="1" applyAlignment="1">
      <alignment horizontal="center"/>
    </xf>
    <xf numFmtId="0" fontId="16" fillId="0" borderId="0" xfId="0" applyFont="1"/>
    <xf numFmtId="0" fontId="0" fillId="26" borderId="40" xfId="0" applyFill="1" applyBorder="1" applyAlignment="1">
      <alignment horizontal="right"/>
    </xf>
    <xf numFmtId="0" fontId="41" fillId="17" borderId="38" xfId="20" applyFont="1" applyBorder="1"/>
    <xf numFmtId="0" fontId="0" fillId="31" borderId="0" xfId="0" applyFont="1" applyFill="1" applyBorder="1"/>
    <xf numFmtId="0" fontId="0" fillId="31" borderId="37" xfId="0" applyFont="1" applyFill="1" applyBorder="1"/>
    <xf numFmtId="0" fontId="0" fillId="31" borderId="20" xfId="0" applyFont="1" applyFill="1" applyBorder="1"/>
    <xf numFmtId="0" fontId="0" fillId="31" borderId="25" xfId="0" applyFont="1" applyFill="1" applyBorder="1"/>
    <xf numFmtId="0" fontId="0" fillId="31" borderId="4" xfId="0" applyFont="1" applyFill="1" applyBorder="1"/>
    <xf numFmtId="0" fontId="0" fillId="31" borderId="40" xfId="0" applyFont="1" applyFill="1" applyBorder="1"/>
    <xf numFmtId="0" fontId="41" fillId="17" borderId="33" xfId="20" applyFont="1" applyBorder="1"/>
    <xf numFmtId="0" fontId="41" fillId="17" borderId="34" xfId="20" applyFont="1" applyBorder="1"/>
    <xf numFmtId="0" fontId="16" fillId="31" borderId="37" xfId="0" applyFont="1" applyFill="1" applyBorder="1"/>
    <xf numFmtId="0" fontId="16" fillId="31" borderId="25" xfId="0" applyFont="1" applyFill="1" applyBorder="1"/>
    <xf numFmtId="0" fontId="16" fillId="31" borderId="4" xfId="0" applyFont="1" applyFill="1" applyBorder="1"/>
    <xf numFmtId="0" fontId="16" fillId="31" borderId="40" xfId="0" applyFont="1" applyFill="1" applyBorder="1"/>
    <xf numFmtId="0" fontId="29" fillId="0" borderId="0" xfId="0" applyFont="1"/>
    <xf numFmtId="0" fontId="45" fillId="0" borderId="0" xfId="0" applyFont="1" applyAlignment="1"/>
    <xf numFmtId="0" fontId="45" fillId="31" borderId="0" xfId="0" applyFont="1" applyFill="1" applyBorder="1" applyAlignment="1"/>
    <xf numFmtId="0" fontId="2" fillId="26" borderId="4" xfId="0" applyFont="1" applyFill="1" applyBorder="1" applyAlignment="1"/>
    <xf numFmtId="0" fontId="35" fillId="23" borderId="41" xfId="0" applyFont="1" applyFill="1" applyBorder="1" applyAlignment="1">
      <alignment horizontal="center" wrapText="1"/>
    </xf>
    <xf numFmtId="0" fontId="35" fillId="23" borderId="42" xfId="0" applyFont="1" applyFill="1" applyBorder="1" applyAlignment="1">
      <alignment horizontal="center" wrapText="1"/>
    </xf>
    <xf numFmtId="0" fontId="35" fillId="23" borderId="43" xfId="0" applyFont="1" applyFill="1" applyBorder="1" applyAlignment="1">
      <alignment horizontal="center" wrapText="1"/>
    </xf>
    <xf numFmtId="43" fontId="35" fillId="23" borderId="44" xfId="29" applyFont="1" applyFill="1" applyBorder="1" applyAlignment="1">
      <alignment horizontal="center" wrapText="1"/>
    </xf>
    <xf numFmtId="0" fontId="35" fillId="23" borderId="45" xfId="0" applyFont="1" applyFill="1" applyBorder="1" applyAlignment="1">
      <alignment horizontal="center" wrapText="1"/>
    </xf>
    <xf numFmtId="0" fontId="3" fillId="9" borderId="43" xfId="8" applyBorder="1" applyAlignment="1">
      <alignment horizontal="center" wrapText="1"/>
    </xf>
    <xf numFmtId="0" fontId="3" fillId="9" borderId="42" xfId="8" applyBorder="1" applyAlignment="1">
      <alignment horizontal="center" wrapText="1"/>
    </xf>
    <xf numFmtId="0" fontId="35" fillId="26" borderId="46" xfId="0" applyFont="1" applyFill="1" applyBorder="1" applyAlignment="1">
      <alignment horizontal="center" wrapText="1"/>
    </xf>
    <xf numFmtId="0" fontId="22" fillId="31" borderId="47" xfId="0" applyFont="1" applyFill="1" applyBorder="1"/>
    <xf numFmtId="0" fontId="22" fillId="26" borderId="48" xfId="0" applyFont="1" applyFill="1" applyBorder="1" applyAlignment="1">
      <alignment horizontal="center"/>
    </xf>
    <xf numFmtId="0" fontId="22" fillId="31" borderId="49" xfId="0" applyFont="1" applyFill="1" applyBorder="1"/>
    <xf numFmtId="1" fontId="39" fillId="31" borderId="51" xfId="0" applyNumberFormat="1" applyFont="1" applyFill="1" applyBorder="1" applyAlignment="1">
      <alignment horizontal="center" wrapText="1"/>
    </xf>
    <xf numFmtId="1" fontId="22" fillId="23" borderId="51" xfId="0" applyNumberFormat="1" applyFont="1" applyFill="1" applyBorder="1" applyAlignment="1">
      <alignment horizontal="center" wrapText="1"/>
    </xf>
    <xf numFmtId="0" fontId="22" fillId="23" borderId="50" xfId="0" applyFont="1" applyFill="1" applyBorder="1" applyAlignment="1">
      <alignment horizontal="center"/>
    </xf>
    <xf numFmtId="0" fontId="22" fillId="26" borderId="51" xfId="0" applyFont="1" applyFill="1" applyBorder="1" applyAlignment="1">
      <alignment horizontal="center"/>
    </xf>
    <xf numFmtId="1" fontId="22" fillId="26" borderId="52" xfId="0" applyNumberFormat="1" applyFont="1" applyFill="1" applyBorder="1" applyAlignment="1">
      <alignment horizontal="center"/>
    </xf>
    <xf numFmtId="0" fontId="22" fillId="32" borderId="50" xfId="0" applyFont="1" applyFill="1" applyBorder="1" applyAlignment="1">
      <alignment horizontal="center"/>
    </xf>
    <xf numFmtId="0" fontId="22" fillId="23" borderId="52" xfId="0" applyFont="1" applyFill="1" applyBorder="1" applyAlignment="1">
      <alignment horizontal="center"/>
    </xf>
    <xf numFmtId="0" fontId="22" fillId="26" borderId="53" xfId="0" applyFont="1" applyFill="1" applyBorder="1" applyAlignment="1">
      <alignment horizontal="center"/>
    </xf>
    <xf numFmtId="0" fontId="35" fillId="26" borderId="44" xfId="0" applyFont="1" applyFill="1" applyBorder="1" applyAlignment="1">
      <alignment horizontal="center" wrapText="1"/>
    </xf>
    <xf numFmtId="0" fontId="42" fillId="31" borderId="47" xfId="31" applyFont="1" applyFill="1" applyBorder="1" applyAlignment="1">
      <alignment horizontal="center"/>
    </xf>
    <xf numFmtId="0" fontId="42" fillId="31" borderId="49" xfId="31" applyFont="1" applyFill="1" applyBorder="1" applyAlignment="1">
      <alignment horizontal="center"/>
    </xf>
    <xf numFmtId="0" fontId="16" fillId="31" borderId="50" xfId="0" applyFont="1" applyFill="1" applyBorder="1" applyAlignment="1">
      <alignment horizontal="center"/>
    </xf>
    <xf numFmtId="164" fontId="29" fillId="23" borderId="0" xfId="0" applyNumberFormat="1" applyFont="1" applyFill="1" applyBorder="1"/>
    <xf numFmtId="0" fontId="45" fillId="23" borderId="0" xfId="0" applyFont="1" applyFill="1" applyBorder="1"/>
    <xf numFmtId="0" fontId="35" fillId="26" borderId="55" xfId="0" applyFont="1" applyFill="1" applyBorder="1" applyAlignment="1">
      <alignment horizontal="center" wrapText="1"/>
    </xf>
    <xf numFmtId="0" fontId="1" fillId="26" borderId="0" xfId="0" applyFont="1" applyFill="1" applyBorder="1"/>
    <xf numFmtId="0" fontId="22" fillId="23" borderId="0" xfId="0" applyFont="1" applyFill="1"/>
    <xf numFmtId="0" fontId="22" fillId="0" borderId="20" xfId="0" applyFont="1" applyBorder="1" applyAlignment="1">
      <alignment horizontal="center"/>
    </xf>
    <xf numFmtId="0" fontId="4" fillId="19" borderId="0" xfId="22" applyBorder="1" applyAlignment="1">
      <alignment horizontal="center" vertical="center" wrapText="1"/>
    </xf>
    <xf numFmtId="0" fontId="2" fillId="23" borderId="56" xfId="0" applyFont="1" applyFill="1" applyBorder="1"/>
    <xf numFmtId="0" fontId="2" fillId="23" borderId="57" xfId="0" applyFont="1" applyFill="1" applyBorder="1"/>
    <xf numFmtId="0" fontId="2" fillId="23" borderId="58" xfId="0" applyFont="1" applyFill="1" applyBorder="1"/>
    <xf numFmtId="0" fontId="35" fillId="26" borderId="43" xfId="0" applyFont="1" applyFill="1" applyBorder="1" applyAlignment="1">
      <alignment horizontal="center" wrapText="1"/>
    </xf>
    <xf numFmtId="0" fontId="4" fillId="19" borderId="56" xfId="22" applyBorder="1" applyAlignment="1">
      <alignment horizontal="center" vertical="center" wrapText="1"/>
    </xf>
    <xf numFmtId="0" fontId="16" fillId="23" borderId="57" xfId="0" applyFont="1" applyFill="1" applyBorder="1"/>
    <xf numFmtId="0" fontId="16" fillId="23" borderId="58" xfId="0" applyFont="1" applyFill="1" applyBorder="1"/>
    <xf numFmtId="166" fontId="35" fillId="23" borderId="39" xfId="29" applyNumberFormat="1" applyFont="1" applyFill="1" applyBorder="1" applyAlignment="1">
      <alignment horizontal="center"/>
    </xf>
    <xf numFmtId="166" fontId="35" fillId="23" borderId="54" xfId="29" applyNumberFormat="1" applyFont="1" applyFill="1" applyBorder="1" applyAlignment="1">
      <alignment horizontal="center"/>
    </xf>
    <xf numFmtId="166" fontId="35" fillId="31" borderId="0" xfId="29" applyNumberFormat="1" applyFont="1" applyFill="1" applyBorder="1" applyAlignment="1">
      <alignment horizontal="center"/>
    </xf>
    <xf numFmtId="166" fontId="35" fillId="23" borderId="44" xfId="29" applyNumberFormat="1" applyFont="1" applyFill="1" applyBorder="1" applyAlignment="1">
      <alignment horizontal="center" wrapText="1"/>
    </xf>
    <xf numFmtId="166" fontId="35" fillId="23" borderId="39" xfId="29" applyNumberFormat="1" applyFont="1" applyFill="1" applyBorder="1" applyAlignment="1">
      <alignment horizontal="right"/>
    </xf>
    <xf numFmtId="166" fontId="35" fillId="23" borderId="54" xfId="29" applyNumberFormat="1" applyFont="1" applyFill="1" applyBorder="1" applyAlignment="1">
      <alignment horizontal="right"/>
    </xf>
    <xf numFmtId="0" fontId="16" fillId="23" borderId="50" xfId="0" applyFont="1" applyFill="1" applyBorder="1"/>
    <xf numFmtId="0" fontId="25" fillId="31" borderId="0" xfId="0" applyFont="1" applyFill="1" applyBorder="1"/>
    <xf numFmtId="0" fontId="25" fillId="31" borderId="50" xfId="0" applyFont="1" applyFill="1" applyBorder="1"/>
    <xf numFmtId="0" fontId="26" fillId="31" borderId="0" xfId="0" applyFont="1" applyFill="1" applyBorder="1"/>
    <xf numFmtId="0" fontId="26" fillId="23" borderId="42" xfId="0" applyFont="1" applyFill="1" applyBorder="1" applyAlignment="1">
      <alignment horizontal="center" wrapText="1"/>
    </xf>
    <xf numFmtId="14" fontId="0" fillId="0" borderId="0" xfId="0" applyNumberFormat="1"/>
    <xf numFmtId="169" fontId="0" fillId="0" borderId="0" xfId="0" applyNumberFormat="1"/>
    <xf numFmtId="0" fontId="2" fillId="0" borderId="3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166" fontId="2" fillId="0" borderId="30" xfId="29" applyNumberFormat="1" applyFont="1" applyBorder="1" applyAlignment="1">
      <alignment horizontal="center"/>
    </xf>
    <xf numFmtId="166" fontId="2" fillId="0" borderId="8" xfId="29" applyNumberFormat="1" applyFont="1" applyBorder="1" applyAlignment="1">
      <alignment horizontal="center"/>
    </xf>
  </cellXfs>
  <cellStyles count="45">
    <cellStyle name=" &amp;A_x0002_" xfId="1"/>
    <cellStyle name="20% - Accent1" xfId="2" builtinId="30" customBuiltin="1"/>
    <cellStyle name="20% - Accent2" xfId="3" builtinId="34" customBuiltin="1"/>
    <cellStyle name="20% - Accent3" xfId="4" builtinId="38" customBuiltin="1"/>
    <cellStyle name="20% - Accent4" xfId="5" builtinId="42" customBuiltin="1"/>
    <cellStyle name="20% - Accent5" xfId="6" builtinId="46" customBuiltin="1"/>
    <cellStyle name="20% - Accent6" xfId="7" builtinId="50" customBuiltin="1"/>
    <cellStyle name="40% - Accent1" xfId="8" builtinId="31" customBuiltin="1"/>
    <cellStyle name="40% - Accent2" xfId="9" builtinId="35" customBuiltin="1"/>
    <cellStyle name="40% - Accent3" xfId="10" builtinId="39" customBuiltin="1"/>
    <cellStyle name="40% - Accent4" xfId="11" builtinId="43" customBuiltin="1"/>
    <cellStyle name="40% - Accent5" xfId="12" builtinId="47" customBuiltin="1"/>
    <cellStyle name="40% - Accent6" xfId="13" builtinId="51" customBuiltin="1"/>
    <cellStyle name="60% - Accent1" xfId="14" builtinId="32" customBuiltin="1"/>
    <cellStyle name="60% - Accent2" xfId="15" builtinId="36" customBuiltin="1"/>
    <cellStyle name="60% - Accent3" xfId="16" builtinId="40" customBuiltin="1"/>
    <cellStyle name="60% - Accent4" xfId="17" builtinId="44" customBuiltin="1"/>
    <cellStyle name="60% - Accent5" xfId="18" builtinId="48" customBuiltin="1"/>
    <cellStyle name="60% - Accent6" xfId="19" builtinId="52" customBuiltin="1"/>
    <cellStyle name="Accent1" xfId="20" builtinId="29" customBuiltin="1"/>
    <cellStyle name="Accent2" xfId="21" builtinId="33" customBuiltin="1"/>
    <cellStyle name="Accent3" xfId="22" builtinId="37" customBuiltin="1"/>
    <cellStyle name="Accent4" xfId="23" builtinId="41" customBuiltin="1"/>
    <cellStyle name="Accent5" xfId="24" builtinId="45" customBuiltin="1"/>
    <cellStyle name="Accent6" xfId="25" builtinId="49" customBuiltin="1"/>
    <cellStyle name="Bad" xfId="26" builtinId="27" customBuiltin="1"/>
    <cellStyle name="Calculation" xfId="27" builtinId="22" customBuiltin="1"/>
    <cellStyle name="Check Cell" xfId="28" builtinId="23" customBuiltin="1"/>
    <cellStyle name="Comma" xfId="29" builtinId="3"/>
    <cellStyle name="Explanatory Text" xfId="30" builtinId="53" customBuiltin="1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te" xfId="40" builtinId="10" customBuiltin="1"/>
    <cellStyle name="Output" xfId="41" builtinId="21" customBuiltin="1"/>
    <cellStyle name="Title" xfId="42" builtinId="15" customBuiltin="1"/>
    <cellStyle name="Total" xfId="43" builtinId="25" customBuiltin="1"/>
    <cellStyle name="Warning Text" xfId="44" builtinId="11" customBuiltin="1"/>
  </cellStyles>
  <dxfs count="5"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1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F0000"/>
      <rgbColor rgb="00F50000"/>
      <rgbColor rgb="00EB0000"/>
      <rgbColor rgb="00DC0000"/>
      <rgbColor rgb="00CD0000"/>
      <rgbColor rgb="00B90000"/>
      <rgbColor rgb="00A00000"/>
      <rgbColor rgb="00820000"/>
      <rgbColor rgb="00640000"/>
      <rgbColor rgb="00000000"/>
      <rgbColor rgb="00ACE0AC"/>
      <rgbColor rgb="008A8AE0"/>
      <rgbColor rgb="00FFD03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9/1/2016</v>
        <stp/>
        <stp>##V3_BDPV12</stp>
        <stp>US83714RAY99 mtge</stp>
        <stp xml:space="preserve">MTG_NXT_PAY_DT_SET_DT </stp>
        <stp>[GNMA Mtge Bonds &amp; Swap CF_generator_Mar2016.DUB.xlsm]Analysis - ignore!R183C11</stp>
        <tr r="K183" s="1124"/>
      </tp>
      <tp t="s">
        <v>15 DAYS</v>
        <stp/>
        <stp>##V3_BLP</stp>
        <stp>US38374MEF23 Mtge</stp>
        <stp>Mtg_pay_delay</stp>
        <stp>[GNMA Mtge Bonds &amp; Swap CF_generator_Mar2016.DUB.xlsm]ISINS_&amp;_SWAPS!R9C25</stp>
        <tr r="Y9" s="20"/>
      </tp>
      <tp t="s">
        <v>9/1/2016</v>
        <stp/>
        <stp>##V3_BDPV12</stp>
        <stp>US83714RAX17 mtge</stp>
        <stp xml:space="preserve">MTG_NXT_PAY_DT_SET_DT </stp>
        <stp>[GNMA Mtge Bonds &amp; Swap CF_generator_Mar2016.DUB.xlsm]Analysis - ignore!R182C11</stp>
        <tr r="K182" s="1124"/>
      </tp>
      <tp t="s">
        <v>#N/A N/A</v>
        <stp/>
        <stp>##V3_BDPV12</stp>
        <stp>US83149EAH09 mtge</stp>
        <stp>MTG WAL</stp>
        <stp>[GNMA Mtge Bonds &amp; Swap CF_generator_Mar2016.DUB.xlsm]Analysis - ignore!R180C10</stp>
        <stp xml:space="preserve">ALLOW_DYNAMIC_CASHFLOW_CALCS </stp>
        <stp>Y</stp>
        <stp>MTG PREPAY SPEED</stp>
        <stp>25</stp>
        <stp>MTG PREPAY TYP</stp>
        <stp>PPC</stp>
        <tr r="J180" s="1124"/>
      </tp>
      <tp>
        <v>4.6813410000000007E-2</v>
        <stp/>
        <stp>##V3_BLP</stp>
        <stp>US38373MSC54 Mtge</stp>
        <stp>mtg_factor</stp>
        <stp>[GNMA Mtge Bonds &amp; Swap CF_generator_Mar2016.DUB.xlsm]ISINS_&amp;_SWAPS!R10C15</stp>
        <tr r="O10" s="20"/>
      </tp>
      <tp>
        <v>4.6813410000000007E-2</v>
        <stp/>
        <stp>##V3_BLP</stp>
        <stp>US38373MSC54 Mtge</stp>
        <stp>mtg_factor</stp>
        <stp>[GNMA Mtge Bonds &amp; Swap CF_generator_Mar2016.DUB.xlsm]ISINS_&amp;_SWAPS!R21C15</stp>
        <tr r="O21" s="20"/>
      </tp>
      <tp>
        <v>4.6813410000000007E-2</v>
        <stp/>
        <stp>##V3_BLP</stp>
        <stp>US38373MSC54 Mtge</stp>
        <stp>mtg_factor</stp>
        <stp>[GNMA Mtge Bonds &amp; Swap CF_generator_Mar2016.DUB.xlsm]ISINS_&amp;_SWAPS!R20C15</stp>
        <tr r="O20" s="20"/>
      </tp>
    </main>
    <main first="bloomberg.rtd">
      <tp t="s">
        <v>7/25/2016</v>
        <stp/>
        <stp>##V3_BDPV12</stp>
        <stp>US78442GMX15 mtge</stp>
        <stp xml:space="preserve">MTG_NXT_PAY_DT_SET_DT </stp>
        <stp>[GNMA Mtge Bonds &amp; Swap CF_generator_Mar2016.DUB.xlsm]Analysis - ignore!R125C11</stp>
        <tr r="K125" s="1124"/>
      </tp>
      <tp t="s">
        <v>7/25/2016</v>
        <stp/>
        <stp>##V3_BDPV12</stp>
        <stp>US78442GRX69 mtge</stp>
        <stp xml:space="preserve">MTG_NXT_PAY_DT_SET_DT </stp>
        <stp>[GNMA Mtge Bonds &amp; Swap CF_generator_Mar2016.DUB.xlsm]Analysis - ignore!R139C11</stp>
        <tr r="K139" s="1124"/>
      </tp>
      <tp t="s">
        <v>#N/A N/A</v>
        <stp/>
        <stp>##V3_BDPV12</stp>
        <stp>US78443VAG77 mtge</stp>
        <stp>MTG WAL</stp>
        <stp>[GNMA Mtge Bonds &amp; Swap CF_generator_Mar2016.DUB.xlsm]Analysis - ignore!R159C10</stp>
        <stp xml:space="preserve">ALLOW_DYNAMIC_CASHFLOW_CALCS </stp>
        <stp>Y</stp>
        <stp>MTG PREPAY SPEED</stp>
        <stp>25</stp>
        <stp>MTG PREPAY TYP</stp>
        <stp>PPC</stp>
        <tr r="J159" s="1124"/>
      </tp>
      <tp t="s">
        <v>#N/A N/A</v>
        <stp/>
        <stp>##V3_BDPV12</stp>
        <stp>US78443FAF45 mtge</stp>
        <stp>MTG WAL</stp>
        <stp>[GNMA Mtge Bonds &amp; Swap CF_generator_Mar2016.DUB.xlsm]Analysis - ignore!R148C10</stp>
        <stp xml:space="preserve">ALLOW_DYNAMIC_CASHFLOW_CALCS </stp>
        <stp>Y</stp>
        <stp>MTG PREPAY SPEED</stp>
        <stp>25</stp>
        <stp>MTG PREPAY TYP</stp>
        <stp>PPC</stp>
        <tr r="J148" s="1124"/>
      </tp>
      <tp t="s">
        <v>#N/A N/A</v>
        <stp/>
        <stp>##V3_BDPV12</stp>
        <stp>US78442GQJ84 mtge</stp>
        <stp>MTG WAL</stp>
        <stp>[GNMA Mtge Bonds &amp; Swap CF_generator_Mar2016.DUB.xlsm]Analysis - ignore!R134C10</stp>
        <stp xml:space="preserve">ALLOW_DYNAMIC_CASHFLOW_CALCS </stp>
        <stp>Y</stp>
        <stp>MTG PREPAY SPEED</stp>
        <stp>25</stp>
        <stp>MTG PREPAY TYP</stp>
        <stp>PPC</stp>
        <tr r="J134" s="1124"/>
      </tp>
      <tp t="s">
        <v>7/1/2016</v>
        <stp/>
        <stp>##V3_BDPV12</stp>
        <stp>US90342NAY31 mtge</stp>
        <stp xml:space="preserve">MTG_NXT_PAY_DT_SET_DT </stp>
        <stp>[GNMA Mtge Bonds &amp; Swap CF_generator_Mar2016.DUB.xlsm]Analysis - ignore!R190C11</stp>
        <tr r="K190" s="1124"/>
      </tp>
      <tp t="s">
        <v>8/25/2016</v>
        <stp/>
        <stp>##V3_BDPV12</stp>
        <stp>US429827AU22 mtge</stp>
        <stp xml:space="preserve">MTG_NXT_PAY_DT_SET_DT </stp>
        <stp>[GNMA Mtge Bonds &amp; Swap CF_generator_Mar2016.DUB.xlsm]Analysis - ignore!R201C11</stp>
        <tr r="K201" s="1124"/>
      </tp>
      <tp t="s">
        <v>#N/A N/A</v>
        <stp/>
        <stp>##V3_BDPV12</stp>
        <stp>US784427AF31 mtge</stp>
        <stp>MTG WAL</stp>
        <stp>[GNMA Mtge Bonds &amp; Swap CF_generator_Mar2016.DUB.xlsm]Analysis - ignore!R119C10</stp>
        <stp xml:space="preserve">ALLOW_DYNAMIC_CASHFLOW_CALCS </stp>
        <stp>Y</stp>
        <stp>MTG PREPAY SPEED</stp>
        <stp>50</stp>
        <stp>MTG PREPAY TYP</stp>
        <stp>PPC</stp>
        <tr r="J119" s="1124"/>
      </tp>
      <tp t="s">
        <v>7/16/2016</v>
        <stp/>
        <stp>##V3_BLP</stp>
        <stp>US38373MK746 Mtge</stp>
        <stp>nxt_cpn_dt</stp>
        <stp>[GNMA Mtge Bonds &amp; Swap CF_generator_Mar2016.DUB.xlsm]ISINS_&amp;_SWAPS!R12C19</stp>
        <tr r="S12" s="20"/>
      </tp>
      <tp t="s">
        <v>7/16/2016</v>
        <stp/>
        <stp>##V3_BLP</stp>
        <stp>US38373MK746 Mtge</stp>
        <stp>nxt_cpn_dt</stp>
        <stp>[GNMA Mtge Bonds &amp; Swap CF_generator_Mar2016.DUB.xlsm]ISINS_&amp;_SWAPS!R24C19</stp>
        <tr r="S24" s="20"/>
      </tp>
      <tp t="s">
        <v>7/16/2016</v>
        <stp/>
        <stp>##V3_BLP</stp>
        <stp>US38373MK746 Mtge</stp>
        <stp>nxt_cpn_dt</stp>
        <stp>[GNMA Mtge Bonds &amp; Swap CF_generator_Mar2016.DUB.xlsm]ISINS_&amp;_SWAPS!R25C19</stp>
        <tr r="S25" s="20"/>
      </tp>
      <tp t="s">
        <v>8/25/2016</v>
        <stp/>
        <stp>##V3_BDPV12</stp>
        <stp>US429827AV05 mtge</stp>
        <stp xml:space="preserve">MTG_NXT_PAY_DT_SET_DT </stp>
        <stp>[GNMA Mtge Bonds &amp; Swap CF_generator_Mar2016.DUB.xlsm]Analysis - ignore!R202C11</stp>
        <tr r="K202" s="1124"/>
      </tp>
      <tp t="s">
        <v>#N/A N/A</v>
        <stp/>
        <stp>##V3_BDPV12</stp>
        <stp>US784420AD30 mtge</stp>
        <stp>MTG WAL</stp>
        <stp>[GNMA Mtge Bonds &amp; Swap CF_generator_Mar2016.DUB.xlsm]Analysis - ignore!R108C10</stp>
        <stp xml:space="preserve">ALLOW_DYNAMIC_CASHFLOW_CALCS </stp>
        <stp>Y</stp>
        <stp>MTG PREPAY SPEED</stp>
        <stp>50</stp>
        <stp>MTG PREPAY TYP</stp>
        <stp>PPC</stp>
        <tr r="J108" s="1124"/>
      </tp>
      <tp t="s">
        <v>#N/A N/A</v>
        <stp/>
        <stp>##V3_BDPV12</stp>
        <stp>US83149EAE77 mtge</stp>
        <stp>MTG WAL</stp>
        <stp>[GNMA Mtge Bonds &amp; Swap CF_generator_Mar2016.DUB.xlsm]Analysis - ignore!R179C10</stp>
        <stp xml:space="preserve">ALLOW_DYNAMIC_CASHFLOW_CALCS </stp>
        <stp>Y</stp>
        <stp>MTG PREPAY SPEED</stp>
        <stp>25</stp>
        <stp>MTG PREPAY TYP</stp>
        <stp>PPC</stp>
        <tr r="J179" s="1124"/>
      </tp>
      <tp t="s">
        <v>#N/A N/A</v>
        <stp/>
        <stp>##V3_BDPV12</stp>
        <stp>US78443GAE52 mtge</stp>
        <stp>MTG WAL</stp>
        <stp>[GNMA Mtge Bonds &amp; Swap CF_generator_Mar2016.DUB.xlsm]Analysis - ignore!R149C10</stp>
        <stp xml:space="preserve">ALLOW_DYNAMIC_CASHFLOW_CALCS </stp>
        <stp>Y</stp>
        <stp>MTG PREPAY SPEED</stp>
        <stp>25</stp>
        <stp>MTG PREPAY TYP</stp>
        <stp>PPC</stp>
        <tr r="J149" s="1124"/>
      </tp>
      <tp t="s">
        <v>8/25/2016</v>
        <stp/>
        <stp>##V3_BDPV12</stp>
        <stp>US429827AW87 mtge</stp>
        <stp xml:space="preserve">MTG_NXT_PAY_DT_SET_DT </stp>
        <stp>[GNMA Mtge Bonds &amp; Swap CF_generator_Mar2016.DUB.xlsm]Analysis - ignore!R203C11</stp>
        <tr r="K203" s="1124"/>
      </tp>
      <tp t="s">
        <v>#N/A N/A</v>
        <stp/>
        <stp>##V3_BDPV12</stp>
        <stp>US78443VAE20 mtge</stp>
        <stp>MTG WAL</stp>
        <stp>[GNMA Mtge Bonds &amp; Swap CF_generator_Mar2016.DUB.xlsm]Analysis - ignore!R158C10</stp>
        <stp xml:space="preserve">ALLOW_DYNAMIC_CASHFLOW_CALCS </stp>
        <stp>Y</stp>
        <stp>MTG PREPAY SPEED</stp>
        <stp>25</stp>
        <stp>MTG PREPAY TYP</stp>
        <stp>PPC</stp>
        <tr r="J158" s="1124"/>
      </tp>
      <tp t="s">
        <v>#N/A N/A</v>
        <stp/>
        <stp>##V3_BDPV12</stp>
        <stp>US784427AE65 mtge</stp>
        <stp>MTG WAL</stp>
        <stp>[GNMA Mtge Bonds &amp; Swap CF_generator_Mar2016.DUB.xlsm]Analysis - ignore!R118C10</stp>
        <stp xml:space="preserve">ALLOW_DYNAMIC_CASHFLOW_CALCS </stp>
        <stp>Y</stp>
        <stp>MTG PREPAY SPEED</stp>
        <stp>50</stp>
        <stp>MTG PREPAY TYP</stp>
        <stp>PPC</stp>
        <tr r="J118" s="1124"/>
      </tp>
      <tp t="s">
        <v>#N/A N/A</v>
        <stp/>
        <stp>##V3_BDPV12</stp>
        <stp>US78442GPG54 mtge</stp>
        <stp>MTG WAL</stp>
        <stp>[GNMA Mtge Bonds &amp; Swap CF_generator_Mar2016.DUB.xlsm]Analysis - ignore!R130C10</stp>
        <stp xml:space="preserve">ALLOW_DYNAMIC_CASHFLOW_CALCS </stp>
        <stp>Y</stp>
        <stp>MTG PREPAY SPEED</stp>
        <stp>2</stp>
        <stp>MTG PREPAY TYP</stp>
        <stp>CPR</stp>
        <tr r="J130" s="1124"/>
      </tp>
      <tp t="s">
        <v>7/25/2016</v>
        <stp/>
        <stp>##V3_BDPV12</stp>
        <stp>US78442GKT21 mtge</stp>
        <stp xml:space="preserve">MTG_NXT_PAY_DT_SET_DT </stp>
        <stp>[GNMA Mtge Bonds &amp; Swap CF_generator_Mar2016.DUB.xlsm]Analysis - ignore!R124C11</stp>
        <tr r="K124" s="1124"/>
      </tp>
      <tp t="s">
        <v>#N/A N/A</v>
        <stp/>
        <stp>##V3_BDPV12</stp>
        <stp>US78442GPH38 mtge</stp>
        <stp>MTG WAL</stp>
        <stp>[GNMA Mtge Bonds &amp; Swap CF_generator_Mar2016.DUB.xlsm]Analysis - ignore!R131C10</stp>
        <stp xml:space="preserve">ALLOW_DYNAMIC_CASHFLOW_CALCS </stp>
        <stp>Y</stp>
        <stp>MTG PREPAY SPEED</stp>
        <stp>2</stp>
        <stp>MTG PREPAY TYP</stp>
        <stp>CPR</stp>
        <tr r="J131" s="1124"/>
      </tp>
      <tp t="s">
        <v>8/25/2016</v>
        <stp/>
        <stp>##V3_BDPV12</stp>
        <stp>US429827AX60 mtge</stp>
        <stp xml:space="preserve">MTG_NXT_PAY_DT_SET_DT </stp>
        <stp>[GNMA Mtge Bonds &amp; Swap CF_generator_Mar2016.DUB.xlsm]Analysis - ignore!R204C11</stp>
        <tr r="K204" s="1124"/>
      </tp>
      <tp t="s">
        <v>#N/A N/A</v>
        <stp/>
        <stp>##V3_BDPV12</stp>
        <stp>US78443BAG14 mtge</stp>
        <stp>MTG WAL</stp>
        <stp>[GNMA Mtge Bonds &amp; Swap CF_generator_Mar2016.DUB.xlsm]Analysis - ignore!R145C10</stp>
        <stp xml:space="preserve">ALLOW_DYNAMIC_CASHFLOW_CALCS </stp>
        <stp>Y</stp>
        <stp>MTG PREPAY SPEED</stp>
        <stp>25</stp>
        <stp>MTG PREPAY TYP</stp>
        <stp>PPC</stp>
        <tr r="J145" s="1124"/>
      </tp>
      <tp t="s">
        <v>#N/A N/A</v>
        <stp/>
        <stp>##V3_BDPV12</stp>
        <stp>US78443HAF01 mtge</stp>
        <stp>MTG WAL</stp>
        <stp>[GNMA Mtge Bonds &amp; Swap CF_generator_Mar2016.DUB.xlsm]Analysis - ignore!R154C10</stp>
        <stp xml:space="preserve">ALLOW_DYNAMIC_CASHFLOW_CALCS </stp>
        <stp>Y</stp>
        <stp>MTG PREPAY SPEED</stp>
        <stp>25</stp>
        <stp>MTG PREPAY TYP</stp>
        <stp>PPC</stp>
        <tr r="J154" s="1124"/>
      </tp>
      <tp t="s">
        <v>#N/A N/A</v>
        <stp/>
        <stp>##V3_BDPV12</stp>
        <stp>US78443FAE79 mtge</stp>
        <stp>MTG WAL</stp>
        <stp>[GNMA Mtge Bonds &amp; Swap CF_generator_Mar2016.DUB.xlsm]Analysis - ignore!R147C10</stp>
        <stp xml:space="preserve">ALLOW_DYNAMIC_CASHFLOW_CALCS </stp>
        <stp>Y</stp>
        <stp>MTG PREPAY SPEED</stp>
        <stp>25</stp>
        <stp>MTG PREPAY TYP</stp>
        <stp>PPC</stp>
        <tr r="J147" s="1124"/>
      </tp>
      <tp t="s">
        <v>#N/A N/A</v>
        <stp/>
        <stp>##V3_BDPV12</stp>
        <stp>US78443HAC79 mtge</stp>
        <stp>MTG WAL</stp>
        <stp>[GNMA Mtge Bonds &amp; Swap CF_generator_Mar2016.DUB.xlsm]Analysis - ignore!R151C10</stp>
        <stp xml:space="preserve">ALLOW_DYNAMIC_CASHFLOW_CALCS </stp>
        <stp>Y</stp>
        <stp>MTG PREPAY SPEED</stp>
        <stp>25</stp>
        <stp>MTG PREPAY TYP</stp>
        <stp>PPC</stp>
        <tr r="J151" s="1124"/>
      </tp>
      <tp t="s">
        <v>#N/A N/A</v>
        <stp/>
        <stp>##V3_BDPV12</stp>
        <stp>US78443FAD96 mtge</stp>
        <stp>MTG WAL</stp>
        <stp>[GNMA Mtge Bonds &amp; Swap CF_generator_Mar2016.DUB.xlsm]Analysis - ignore!R146C10</stp>
        <stp xml:space="preserve">ALLOW_DYNAMIC_CASHFLOW_CALCS </stp>
        <stp>Y</stp>
        <stp>MTG PREPAY SPEED</stp>
        <stp>25</stp>
        <stp>MTG PREPAY TYP</stp>
        <stp>PPC</stp>
        <tr r="J146" s="1124"/>
      </tp>
      <tp t="s">
        <v>#N/A N/A</v>
        <stp/>
        <stp>##V3_BDPV12</stp>
        <stp>US83149FAC86 mtge</stp>
        <stp>MTG WAL</stp>
        <stp>[GNMA Mtge Bonds &amp; Swap CF_generator_Mar2016.DUB.xlsm]Analysis - ignore!R181C10</stp>
        <stp xml:space="preserve">ALLOW_DYNAMIC_CASHFLOW_CALCS </stp>
        <stp>Y</stp>
        <stp>MTG PREPAY SPEED</stp>
        <stp>25</stp>
        <stp>MTG PREPAY TYP</stp>
        <stp>PPC</stp>
        <tr r="J181" s="1124"/>
      </tp>
      <tp t="s">
        <v>7/25/2016</v>
        <stp/>
        <stp>##V3_BDPV12</stp>
        <stp>US78442GNU66 mtge</stp>
        <stp xml:space="preserve">MTG_NXT_PAY_DT_SET_DT </stp>
        <stp>[GNMA Mtge Bonds &amp; Swap CF_generator_Mar2016.DUB.xlsm]Analysis - ignore!R128C11</stp>
        <tr r="K128" s="1124"/>
      </tp>
      <tp t="s">
        <v>#N/A N/A</v>
        <stp/>
        <stp>##V3_BDPV12</stp>
        <stp>US78442GQS83 mtge</stp>
        <stp>MTG WAL</stp>
        <stp>[GNMA Mtge Bonds &amp; Swap CF_generator_Mar2016.DUB.xlsm]Analysis - ignore!R135C10</stp>
        <stp xml:space="preserve">ALLOW_DYNAMIC_CASHFLOW_CALCS </stp>
        <stp>Y</stp>
        <stp>MTG PREPAY SPEED</stp>
        <stp>2</stp>
        <stp>MTG PREPAY TYP</stp>
        <stp>CPR</stp>
        <tr r="J135" s="1124"/>
      </tp>
      <tp t="s">
        <v>#N/A N/A</v>
        <stp/>
        <stp>##V3_BDPV12</stp>
        <stp>US78443VAD47 mtge</stp>
        <stp>MTG WAL</stp>
        <stp>[GNMA Mtge Bonds &amp; Swap CF_generator_Mar2016.DUB.xlsm]Analysis - ignore!R157C10</stp>
        <stp xml:space="preserve">ALLOW_DYNAMIC_CASHFLOW_CALCS </stp>
        <stp>Y</stp>
        <stp>MTG PREPAY SPEED</stp>
        <stp>25</stp>
        <stp>MTG PREPAY TYP</stp>
        <stp>PPC</stp>
        <tr r="J157" s="1124"/>
      </tp>
      <tp>
        <v>3.7800000000000002</v>
        <stp/>
        <stp>##V3_BDPV12</stp>
        <stp>USU63718AG22 mtge</stp>
        <stp>MTG WAL</stp>
        <stp>[GNMA Mtge Bonds &amp; Swap CF_generator_Mar2016.DUB.xlsm]Analysis - ignore!R207C10</stp>
        <stp xml:space="preserve">ALLOW_DYNAMIC_CASHFLOW_CALCS </stp>
        <stp>Y</stp>
        <stp>MTG PREPAY SPEED</stp>
        <stp>50</stp>
        <stp>MTG PREPAY TYP</stp>
        <stp>PPC</stp>
        <tr r="J207" s="1124"/>
      </tp>
      <tp t="s">
        <v>7/16/2016</v>
        <stp/>
        <stp>##V3_BLP</stp>
        <stp>US38373MG611 Mtge</stp>
        <stp>nxt_cpn_dt</stp>
        <stp>[GNMA Mtge Bonds &amp; Swap CF_generator_Mar2016.DUB.xlsm]ISINS_&amp;_SWAPS!R11C19</stp>
        <tr r="S11" s="20"/>
      </tp>
      <tp t="s">
        <v>7/16/2016</v>
        <stp/>
        <stp>##V3_BLP</stp>
        <stp>US38373MG611 Mtge</stp>
        <stp>nxt_cpn_dt</stp>
        <stp>[GNMA Mtge Bonds &amp; Swap CF_generator_Mar2016.DUB.xlsm]ISINS_&amp;_SWAPS!R23C19</stp>
        <tr r="S23" s="20"/>
      </tp>
      <tp t="s">
        <v>7/16/2016</v>
        <stp/>
        <stp>##V3_BLP</stp>
        <stp>US38373MG611 Mtge</stp>
        <stp>nxt_cpn_dt</stp>
        <stp>[GNMA Mtge Bonds &amp; Swap CF_generator_Mar2016.DUB.xlsm]ISINS_&amp;_SWAPS!R22C19</stp>
        <tr r="S22" s="20"/>
      </tp>
      <tp>
        <v>10.68</v>
        <stp/>
        <stp>##V3_BDPV12</stp>
        <stp>US78442GRB40 mtge</stp>
        <stp>MTG WAL</stp>
        <stp>[GNMA Mtge Bonds &amp; Swap CF_generator_Mar2016.DUB.xlsm]Analysis - ignore!R136C10</stp>
        <stp xml:space="preserve">ALLOW_DYNAMIC_CASHFLOW_CALCS </stp>
        <stp>Y</stp>
        <stp>MTG PREPAY SPEED</stp>
        <stp>2</stp>
        <stp>MTG PREPAY TYP</stp>
        <stp>CPR</stp>
        <tr r="J136" s="1124"/>
      </tp>
      <tp t="s">
        <v>#N/A N/A</v>
        <stp/>
        <stp>##V3_BDPV12</stp>
        <stp>US78442GRN87 mtge</stp>
        <stp>MTG WAL</stp>
        <stp>[GNMA Mtge Bonds &amp; Swap CF_generator_Mar2016.DUB.xlsm]Analysis - ignore!R137C10</stp>
        <stp xml:space="preserve">ALLOW_DYNAMIC_CASHFLOW_CALCS </stp>
        <stp>Y</stp>
        <stp>MTG PREPAY SPEED</stp>
        <stp>4</stp>
        <stp>MTG PREPAY TYP</stp>
        <stp>CPR</stp>
        <tr r="J137" s="1124"/>
      </tp>
      <tp t="s">
        <v>7/25/2016</v>
        <stp/>
        <stp>##V3_BDPV12</stp>
        <stp>US78442GNV40 mtge</stp>
        <stp xml:space="preserve">MTG_NXT_PAY_DT_SET_DT </stp>
        <stp>[GNMA Mtge Bonds &amp; Swap CF_generator_Mar2016.DUB.xlsm]Analysis - ignore!R129C11</stp>
        <tr r="K129" s="1124"/>
      </tp>
      <tp t="s">
        <v>#N/A N/A</v>
        <stp/>
        <stp>##V3_BDPV12</stp>
        <stp>US78443KAF30 mtge</stp>
        <stp>MTG WAL</stp>
        <stp>[GNMA Mtge Bonds &amp; Swap CF_generator_Mar2016.DUB.xlsm]Analysis - ignore!R156C10</stp>
        <stp xml:space="preserve">ALLOW_DYNAMIC_CASHFLOW_CALCS </stp>
        <stp>Y</stp>
        <stp>MTG PREPAY SPEED</stp>
        <stp>25</stp>
        <stp>MTG PREPAY TYP</stp>
        <stp>PPC</stp>
        <tr r="J156" s="1124"/>
      </tp>
      <tp t="s">
        <v>#N/A N/A</v>
        <stp/>
        <stp>##V3_BDPV12</stp>
        <stp>US784422AB30 mtge</stp>
        <stp>MTG WAL</stp>
        <stp>[GNMA Mtge Bonds &amp; Swap CF_generator_Mar2016.DUB.xlsm]Analysis - ignore!R112C10</stp>
        <stp xml:space="preserve">ALLOW_DYNAMIC_CASHFLOW_CALCS </stp>
        <stp>Y</stp>
        <stp>MTG PREPAY SPEED</stp>
        <stp>50</stp>
        <stp>MTG PREPAY TYP</stp>
        <stp>PPC</stp>
        <tr r="J112" s="1124"/>
      </tp>
      <tp t="s">
        <v>#N/A N/A</v>
        <stp/>
        <stp>##V3_BDPV12</stp>
        <stp>US784422AC13 mtge</stp>
        <stp>MTG WAL</stp>
        <stp>[GNMA Mtge Bonds &amp; Swap CF_generator_Mar2016.DUB.xlsm]Analysis - ignore!R113C10</stp>
        <stp xml:space="preserve">ALLOW_DYNAMIC_CASHFLOW_CALCS </stp>
        <stp>Y</stp>
        <stp>MTG PREPAY SPEED</stp>
        <stp>50</stp>
        <stp>MTG PREPAY TYP</stp>
        <stp>PPC</stp>
        <tr r="J113" s="1124"/>
      </tp>
      <tp t="s">
        <v>#N/A N/A</v>
        <stp/>
        <stp>##V3_BDPV12</stp>
        <stp>US78443KAE64 mtge</stp>
        <stp>MTG WAL</stp>
        <stp>[GNMA Mtge Bonds &amp; Swap CF_generator_Mar2016.DUB.xlsm]Analysis - ignore!R155C10</stp>
        <stp xml:space="preserve">ALLOW_DYNAMIC_CASHFLOW_CALCS </stp>
        <stp>Y</stp>
        <stp>MTG PREPAY SPEED</stp>
        <stp>25</stp>
        <stp>MTG PREPAY TYP</stp>
        <stp>PPC</stp>
        <tr r="J155" s="1124"/>
      </tp>
      <tp t="s">
        <v>#N/A N/A</v>
        <stp/>
        <stp>##V3_BDPV12</stp>
        <stp>US78442GRQ19 mtge</stp>
        <stp>MTG WAL</stp>
        <stp>[GNMA Mtge Bonds &amp; Swap CF_generator_Mar2016.DUB.xlsm]Analysis - ignore!R138C10</stp>
        <stp xml:space="preserve">ALLOW_DYNAMIC_CASHFLOW_CALCS </stp>
        <stp>Y</stp>
        <stp>MTG PREPAY SPEED</stp>
        <stp>2</stp>
        <stp>MTG PREPAY TYP</stp>
        <stp>CPR</stp>
        <tr r="J138" s="1124"/>
      </tp>
      <tp t="s">
        <v>7/16/2016</v>
        <stp/>
        <stp>##V3_BLP</stp>
        <stp>US38374MEF23 Mtge</stp>
        <stp>nxt_cpn_dt</stp>
        <stp>[GNMA Mtge Bonds &amp; Swap CF_generator_Mar2016.DUB.xlsm]ISINS_&amp;_SWAPS!R19C19</stp>
        <tr r="S19" s="20"/>
      </tp>
      <tp t="s">
        <v>7/16/2016</v>
        <stp/>
        <stp>##V3_BLP</stp>
        <stp>US38374MEF23 Mtge</stp>
        <stp>nxt_cpn_dt</stp>
        <stp>[GNMA Mtge Bonds &amp; Swap CF_generator_Mar2016.DUB.xlsm]ISINS_&amp;_SWAPS!R18C19</stp>
        <tr r="S18" s="20"/>
      </tp>
      <tp t="s">
        <v>6/27/2016</v>
        <stp/>
        <stp>##V3_BDPV12</stp>
        <stp>US194267AQ33 mtge</stp>
        <stp xml:space="preserve">MTG_NXT_PAY_DT_SET_DT </stp>
        <stp>[GNMA Mtge Bonds &amp; Swap CF_generator_Mar2016.DUB.xlsm]Analysis - ignore!R200C11</stp>
        <tr r="K200" s="1124"/>
      </tp>
      <tp t="s">
        <v>#N/A N/A</v>
        <stp/>
        <stp>##V3_BDPV12</stp>
        <stp>US78443BAE65 mtge</stp>
        <stp>MTG WAL</stp>
        <stp>[GNMA Mtge Bonds &amp; Swap CF_generator_Mar2016.DUB.xlsm]Analysis - ignore!R144C10</stp>
        <stp xml:space="preserve">ALLOW_DYNAMIC_CASHFLOW_CALCS </stp>
        <stp>Y</stp>
        <stp>MTG PREPAY SPEED</stp>
        <stp>25</stp>
        <stp>MTG PREPAY TYP</stp>
        <stp>PPC</stp>
        <tr r="J144" s="1124"/>
      </tp>
      <tp t="s">
        <v>Mtge</v>
        <stp/>
        <stp>##V3_BLP</stp>
        <stp>US38374MEF23 Mtge ISIN</stp>
        <stp>market sector des</stp>
        <stp>[GNMA Mtge Bonds &amp; Swap CF_generator_Mar2016.DUB.xlsm]ISINS_&amp;_SWAPS!R9C8</stp>
        <tr r="H9" s="20"/>
      </tp>
      <tp t="s">
        <v>#N/A N/A</v>
        <stp/>
        <stp>##V3_BDPV12</stp>
        <stp>US78442GSD96 mtge</stp>
        <stp>MTG WAL</stp>
        <stp>[GNMA Mtge Bonds &amp; Swap CF_generator_Mar2016.DUB.xlsm]Analysis - ignore!R140C10</stp>
        <stp xml:space="preserve">ALLOW_DYNAMIC_CASHFLOW_CALCS </stp>
        <stp>Y</stp>
        <stp>MTG PREPAY SPEED</stp>
        <stp>4</stp>
        <stp>MTG PREPAY TYP</stp>
        <stp>CPR</stp>
        <tr r="J140" s="1124"/>
      </tp>
      <tp t="s">
        <v>#N/A N/A</v>
        <stp/>
        <stp>##V3_BDPV12</stp>
        <stp>US78442GSL13 mtge</stp>
        <stp>MTG WAL</stp>
        <stp>[GNMA Mtge Bonds &amp; Swap CF_generator_Mar2016.DUB.xlsm]Analysis - ignore!R143C10</stp>
        <stp xml:space="preserve">ALLOW_DYNAMIC_CASHFLOW_CALCS </stp>
        <stp>Y</stp>
        <stp>MTG PREPAY SPEED</stp>
        <stp>2</stp>
        <stp>MTG PREPAY TYP</stp>
        <stp>CPR</stp>
        <tr r="J143" s="1124"/>
      </tp>
      <tp t="s">
        <v>#N/A N/A</v>
        <stp/>
        <stp>##V3_BDPV12</stp>
        <stp>US78442GSK30 mtge</stp>
        <stp>MTG WAL</stp>
        <stp>[GNMA Mtge Bonds &amp; Swap CF_generator_Mar2016.DUB.xlsm]Analysis - ignore!R142C10</stp>
        <stp xml:space="preserve">ALLOW_DYNAMIC_CASHFLOW_CALCS </stp>
        <stp>Y</stp>
        <stp>MTG PREPAY SPEED</stp>
        <stp>2</stp>
        <stp>MTG PREPAY TYP</stp>
        <stp>CPR</stp>
        <tr r="J142" s="1124"/>
      </tp>
      <tp t="s">
        <v>6/15/2016</v>
        <stp/>
        <stp>##V3_BDPV12</stp>
        <stp>US784420AP69 mtge</stp>
        <stp xml:space="preserve">MTG_NXT_PAY_DT_SET_DT </stp>
        <stp>[GNMA Mtge Bonds &amp; Swap CF_generator_Mar2016.DUB.xlsm]Analysis - ignore!R110C11</stp>
        <tr r="K110" s="1124"/>
      </tp>
      <tp t="s">
        <v>#N/A N/A</v>
        <stp/>
        <stp>##V3_BDPV12</stp>
        <stp>US78442GSJ66 mtge</stp>
        <stp>MTG WAL</stp>
        <stp>[GNMA Mtge Bonds &amp; Swap CF_generator_Mar2016.DUB.xlsm]Analysis - ignore!R141C10</stp>
        <stp xml:space="preserve">ALLOW_DYNAMIC_CASHFLOW_CALCS </stp>
        <stp>Y</stp>
        <stp>MTG PREPAY SPEED</stp>
        <stp>2</stp>
        <stp>MTG PREPAY TYP</stp>
        <stp>CPR</stp>
        <tr r="J141" s="1124"/>
      </tp>
      <tp t="s">
        <v>7/25/2016</v>
        <stp/>
        <stp>##V3_BDPV12</stp>
        <stp>US78442GNP71 mtge</stp>
        <stp xml:space="preserve">MTG_NXT_PAY_DT_SET_DT </stp>
        <stp>[GNMA Mtge Bonds &amp; Swap CF_generator_Mar2016.DUB.xlsm]Analysis - ignore!R127C11</stp>
        <tr r="K127" s="1124"/>
      </tp>
      <tp t="s">
        <v>#N/A N/A</v>
        <stp/>
        <stp>##V3_BDPV12</stp>
        <stp>US78443HAE36 mtge</stp>
        <stp>MTG WAL</stp>
        <stp>[GNMA Mtge Bonds &amp; Swap CF_generator_Mar2016.DUB.xlsm]Analysis - ignore!R153C10</stp>
        <stp xml:space="preserve">ALLOW_DYNAMIC_CASHFLOW_CALCS </stp>
        <stp>Y</stp>
        <stp>MTG PREPAY SPEED</stp>
        <stp>25</stp>
        <stp>MTG PREPAY TYP</stp>
        <stp>PPC</stp>
        <tr r="J153" s="1124"/>
      </tp>
      <tp t="s">
        <v>#N/A N/A</v>
        <stp/>
        <stp>##V3_BDPV12</stp>
        <stp>US78443GAF28 mtge</stp>
        <stp>MTG WAL</stp>
        <stp>[GNMA Mtge Bonds &amp; Swap CF_generator_Mar2016.DUB.xlsm]Analysis - ignore!R150C10</stp>
        <stp xml:space="preserve">ALLOW_DYNAMIC_CASHFLOW_CALCS </stp>
        <stp>Y</stp>
        <stp>MTG PREPAY SPEED</stp>
        <stp>25</stp>
        <stp>MTG PREPAY TYP</stp>
        <stp>PPC</stp>
        <tr r="J150" s="1124"/>
      </tp>
      <tp t="s">
        <v>#N/A N/A</v>
        <stp/>
        <stp>##V3_BDPV12</stp>
        <stp>US78444AAE73 mtge</stp>
        <stp>MTG WAL</stp>
        <stp>[GNMA Mtge Bonds &amp; Swap CF_generator_Mar2016.DUB.xlsm]Analysis - ignore!R163C10</stp>
        <stp xml:space="preserve">ALLOW_DYNAMIC_CASHFLOW_CALCS </stp>
        <stp>Y</stp>
        <stp>MTG PREPAY SPEED</stp>
        <stp>25</stp>
        <stp>MTG PREPAY TYP</stp>
        <stp>PPC</stp>
        <tr r="J163" s="1124"/>
      </tp>
      <tp t="s">
        <v>#N/A N/A</v>
        <stp/>
        <stp>##V3_BDPV12</stp>
        <stp>US78443HAD52 mtge</stp>
        <stp>MTG WAL</stp>
        <stp>[GNMA Mtge Bonds &amp; Swap CF_generator_Mar2016.DUB.xlsm]Analysis - ignore!R152C10</stp>
        <stp xml:space="preserve">ALLOW_DYNAMIC_CASHFLOW_CALCS </stp>
        <stp>Y</stp>
        <stp>MTG PREPAY SPEED</stp>
        <stp>25</stp>
        <stp>MTG PREPAY TYP</stp>
        <stp>PPC</stp>
        <tr r="J152" s="1124"/>
      </tp>
      <tp t="s">
        <v>#N/A N/A</v>
        <stp/>
        <stp>##V3_BDPV12</stp>
        <stp>US78442GKE51 mtge</stp>
        <stp>MTG WAL</stp>
        <stp>[GNMA Mtge Bonds &amp; Swap CF_generator_Mar2016.DUB.xlsm]Analysis - ignore!R123C10</stp>
        <stp xml:space="preserve">ALLOW_DYNAMIC_CASHFLOW_CALCS </stp>
        <stp>Y</stp>
        <stp>MTG PREPAY SPEED</stp>
        <stp>25</stp>
        <stp>MTG PREPAY TYP</stp>
        <stp>PPC</stp>
        <tr r="J123" s="1124"/>
      </tp>
      <tp t="s">
        <v>#N/A N/A</v>
        <stp/>
        <stp>##V3_BDPV12</stp>
        <stp>US78444AAD90 mtge</stp>
        <stp>MTG WAL</stp>
        <stp>[GNMA Mtge Bonds &amp; Swap CF_generator_Mar2016.DUB.xlsm]Analysis - ignore!R162C10</stp>
        <stp xml:space="preserve">ALLOW_DYNAMIC_CASHFLOW_CALCS </stp>
        <stp>Y</stp>
        <stp>MTG PREPAY SPEED</stp>
        <stp>25</stp>
        <stp>MTG PREPAY TYP</stp>
        <stp>PPC</stp>
        <tr r="J162" s="1124"/>
      </tp>
      <tp t="s">
        <v>7/25/2016</v>
        <stp/>
        <stp>##V3_BDPV12</stp>
        <stp>US78442GRQ19 mtge</stp>
        <stp xml:space="preserve">MTG_NXT_PAY_DT_SET_DT </stp>
        <stp>[GNMA Mtge Bonds &amp; Swap CF_generator_Mar2016.DUB.xlsm]Analysis - ignore!R138C11</stp>
        <tr r="K138" s="1124"/>
      </tp>
      <tp t="s">
        <v>6/15/2016</v>
        <stp/>
        <stp>##V3_BDPV12</stp>
        <stp>US784420AQ43 mtge</stp>
        <stp xml:space="preserve">MTG_NXT_PAY_DT_SET_DT </stp>
        <stp>[GNMA Mtge Bonds &amp; Swap CF_generator_Mar2016.DUB.xlsm]Analysis - ignore!R111C11</stp>
        <tr r="K111" s="1124"/>
      </tp>
      <tp t="s">
        <v>#N/A N/A</v>
        <stp/>
        <stp>##V3_BDPV12</stp>
        <stp>US784428AF14 mtge</stp>
        <stp>MTG WAL</stp>
        <stp>[GNMA Mtge Bonds &amp; Swap CF_generator_Mar2016.DUB.xlsm]Analysis - ignore!R121C10</stp>
        <stp xml:space="preserve">ALLOW_DYNAMIC_CASHFLOW_CALCS </stp>
        <stp>Y</stp>
        <stp>MTG PREPAY SPEED</stp>
        <stp>50</stp>
        <stp>MTG PREPAY TYP</stp>
        <stp>PPC</stp>
        <tr r="J121" s="1124"/>
      </tp>
      <tp t="s">
        <v>#N/A N/A</v>
        <stp/>
        <stp>##V3_BDPV12</stp>
        <stp>US78442GQE97 mtge</stp>
        <stp>MTG WAL</stp>
        <stp>[GNMA Mtge Bonds &amp; Swap CF_generator_Mar2016.DUB.xlsm]Analysis - ignore!R132C10</stp>
        <stp xml:space="preserve">ALLOW_DYNAMIC_CASHFLOW_CALCS </stp>
        <stp>Y</stp>
        <stp>MTG PREPAY SPEED</stp>
        <stp>25</stp>
        <stp>MTG PREPAY TYP</stp>
        <stp>PPC</stp>
        <tr r="J132" s="1124"/>
      </tp>
      <tp t="s">
        <v>7/28/2016</v>
        <stp/>
        <stp>##V3_BDPV12</stp>
        <stp>US66704JBV98 mtge</stp>
        <stp xml:space="preserve">MTG_NXT_PAY_DT_SET_DT </stp>
        <stp>[GNMA Mtge Bonds &amp; Swap CF_generator_Mar2016.DUB.xlsm]Analysis - ignore!R103C11</stp>
        <tr r="K103" s="1124"/>
      </tp>
      <tp t="s">
        <v>#N/A N/A</v>
        <stp/>
        <stp>##V3_BDPV12</stp>
        <stp>US784428AD65 mtge</stp>
        <stp>MTG WAL</stp>
        <stp>[GNMA Mtge Bonds &amp; Swap CF_generator_Mar2016.DUB.xlsm]Analysis - ignore!R120C10</stp>
        <stp xml:space="preserve">ALLOW_DYNAMIC_CASHFLOW_CALCS </stp>
        <stp>Y</stp>
        <stp>MTG PREPAY SPEED</stp>
        <stp>50</stp>
        <stp>MTG PREPAY TYP</stp>
        <stp>PPC</stp>
        <tr r="J120" s="1124"/>
      </tp>
      <tp t="s">
        <v>#N/A N/A</v>
        <stp/>
        <stp>##V3_BDPV12</stp>
        <stp>US78442GQG46 mtge</stp>
        <stp>MTG WAL</stp>
        <stp>[GNMA Mtge Bonds &amp; Swap CF_generator_Mar2016.DUB.xlsm]Analysis - ignore!R133C10</stp>
        <stp xml:space="preserve">ALLOW_DYNAMIC_CASHFLOW_CALCS </stp>
        <stp>Y</stp>
        <stp>MTG PREPAY SPEED</stp>
        <stp>25</stp>
        <stp>MTG PREPAY TYP</stp>
        <stp>PPC</stp>
        <tr r="J133" s="1124"/>
      </tp>
      <tp t="s">
        <v>7/25/2016</v>
        <stp/>
        <stp>##V3_BDPV12</stp>
        <stp>US78442GQS83 mtge</stp>
        <stp xml:space="preserve">MTG_NXT_PAY_DT_SET_DT </stp>
        <stp>[GNMA Mtge Bonds &amp; Swap CF_generator_Mar2016.DUB.xlsm]Analysis - ignore!R135C11</stp>
        <tr r="K135" s="1124"/>
      </tp>
      <tp t="s">
        <v>Mtge</v>
        <stp/>
        <stp>##V3_BLP</stp>
        <stp>US38373MK746 Mtge ISIN</stp>
        <stp>market sector des</stp>
        <stp>[GNMA Mtge Bonds &amp; Swap CF_generator_Mar2016.DUB.xlsm]ISINS_&amp;_SWAPS!R24C8</stp>
        <tr r="H24" s="20"/>
      </tp>
      <tp t="s">
        <v>Mtge</v>
        <stp/>
        <stp>##V3_BLP</stp>
        <stp>US38373MG611 Mtge ISIN</stp>
        <stp>market sector des</stp>
        <stp>[GNMA Mtge Bonds &amp; Swap CF_generator_Mar2016.DUB.xlsm]ISINS_&amp;_SWAPS!R23C8</stp>
        <tr r="H23" s="20"/>
      </tp>
      <tp t="s">
        <v>7/25/2016</v>
        <stp/>
        <stp>##V3_BDPV12</stp>
        <stp>US78442GSL13 mtge</stp>
        <stp xml:space="preserve">MTG_NXT_PAY_DT_SET_DT </stp>
        <stp>[GNMA Mtge Bonds &amp; Swap CF_generator_Mar2016.DUB.xlsm]Analysis - ignore!R143C11</stp>
        <tr r="K143" s="1124"/>
      </tp>
      <tp t="s">
        <v>6/15/2016</v>
        <stp/>
        <stp>##V3_BDPV12</stp>
        <stp>US78442GFL59 mtge</stp>
        <stp xml:space="preserve">MTG_NXT_PAY_DT_SET_DT </stp>
        <stp>[GNMA Mtge Bonds &amp; Swap CF_generator_Mar2016.DUB.xlsm]Analysis - ignore!R122C11</stp>
        <tr r="K122" s="1124"/>
      </tp>
      <tp t="s">
        <v>7/28/2016</v>
        <stp/>
        <stp>##V3_BDPV12</stp>
        <stp>US66704JBH05 mtge</stp>
        <stp xml:space="preserve">MTG_NXT_PAY_DT_SET_DT </stp>
        <stp>[GNMA Mtge Bonds &amp; Swap CF_generator_Mar2016.DUB.xlsm]Analysis - ignore!R102C11</stp>
        <tr r="K102" s="1124"/>
      </tp>
      <tp t="s">
        <v>Mtge</v>
        <stp/>
        <stp>##V3_BLP</stp>
        <stp>US38373MK746 Mtge ISIN</stp>
        <stp>market sector des</stp>
        <stp>[GNMA Mtge Bonds &amp; Swap CF_generator_Mar2016.DUB.xlsm]ISINS_&amp;_SWAPS!R25C8</stp>
        <tr r="H25" s="20"/>
      </tp>
      <tp t="s">
        <v>Mtge</v>
        <stp/>
        <stp>##V3_BLP</stp>
        <stp>US38373MG611 Mtge ISIN</stp>
        <stp>market sector des</stp>
        <stp>[GNMA Mtge Bonds &amp; Swap CF_generator_Mar2016.DUB.xlsm]ISINS_&amp;_SWAPS!R22C8</stp>
        <tr r="H22" s="20"/>
      </tp>
      <tp t="s">
        <v>6/22/2016</v>
        <stp/>
        <stp>##V3_BDPV12</stp>
        <stp>US64031QCJ85 mtge</stp>
        <stp xml:space="preserve">MTG_NXT_PAY_DT_SET_DT </stp>
        <stp>[GNMA Mtge Bonds &amp; Swap CF_generator_Mar2016.DUB.xlsm]Analysis - ignore!R199C11</stp>
        <tr r="K199" s="1124"/>
      </tp>
      <tp t="s">
        <v>7/25/2016</v>
        <stp/>
        <stp>##V3_BDPV12</stp>
        <stp>US709163GH61 mtge</stp>
        <stp xml:space="preserve">MTG_NXT_PAY_DT_SET_DT </stp>
        <stp>[GNMA Mtge Bonds &amp; Swap CF_generator_Mar2016.DUB.xlsm]Analysis - ignore!R107C11</stp>
        <tr r="K107" s="1124"/>
      </tp>
      <tp>
        <v>4.18</v>
        <stp/>
        <stp>##V3_BDPV12</stp>
        <stp>US709163GH61 mtge</stp>
        <stp>MTG WAL</stp>
        <stp>[GNMA Mtge Bonds &amp; Swap CF_generator_Mar2016.DUB.xlsm]Analysis - ignore!R107C10</stp>
        <stp xml:space="preserve">ALLOW_DYNAMIC_CASHFLOW_CALCS </stp>
        <stp>Y</stp>
        <stp>MTG PREPAY SPEED</stp>
        <stp>2</stp>
        <stp>MTG PREPAY TYP</stp>
        <stp>CPR</stp>
        <tr r="J107" s="1124"/>
      </tp>
      <tp t="s">
        <v>#N/A N/A</v>
        <stp/>
        <stp>##V3_BDPV12</stp>
        <stp>US83714RAX17 mtge</stp>
        <stp>MTG WAL</stp>
        <stp>[GNMA Mtge Bonds &amp; Swap CF_generator_Mar2016.DUB.xlsm]Analysis - ignore!R182C10</stp>
        <stp xml:space="preserve">ALLOW_DYNAMIC_CASHFLOW_CALCS </stp>
        <stp>Y</stp>
        <stp>MTG PREPAY SPEED</stp>
        <stp>2</stp>
        <stp>MTG PREPAY TYP</stp>
        <stp>CPR</stp>
        <tr r="J182" s="1124"/>
      </tp>
      <tp t="s">
        <v>#N/A N/A</v>
        <stp/>
        <stp>##V3_BDPV12</stp>
        <stp>US83714RAY99 mtge</stp>
        <stp>MTG WAL</stp>
        <stp>[GNMA Mtge Bonds &amp; Swap CF_generator_Mar2016.DUB.xlsm]Analysis - ignore!R183C10</stp>
        <stp xml:space="preserve">ALLOW_DYNAMIC_CASHFLOW_CALCS </stp>
        <stp>Y</stp>
        <stp>MTG PREPAY SPEED</stp>
        <stp>2</stp>
        <stp>MTG PREPAY TYP</stp>
        <stp>CPR</stp>
        <tr r="J183" s="1124"/>
      </tp>
      <tp>
        <v>0.25</v>
        <stp/>
        <stp>##V3_BLP</stp>
        <stp>US38373MSC54 Mtge</stp>
        <stp>mtg_wal</stp>
        <stp>[GNMA Mtge Bonds &amp; Swap CF_generator_Mar2016.DUB.xlsm]ISINS_&amp;_SWAPS!R10C24</stp>
        <tr r="X10" s="20"/>
      </tp>
      <tp>
        <v>0.25</v>
        <stp/>
        <stp>##V3_BLP</stp>
        <stp>US38373MSC54 Mtge</stp>
        <stp>mtg_wal</stp>
        <stp>[GNMA Mtge Bonds &amp; Swap CF_generator_Mar2016.DUB.xlsm]ISINS_&amp;_SWAPS!R21C24</stp>
        <tr r="X21" s="20"/>
      </tp>
      <tp>
        <v>0.25</v>
        <stp/>
        <stp>##V3_BLP</stp>
        <stp>US38373MSC54 Mtge</stp>
        <stp>mtg_wal</stp>
        <stp>[GNMA Mtge Bonds &amp; Swap CF_generator_Mar2016.DUB.xlsm]ISINS_&amp;_SWAPS!R20C24</stp>
        <tr r="X20" s="20"/>
      </tp>
      <tp t="s">
        <v>VARIABLE</v>
        <stp/>
        <stp>##V3_BLP</stp>
        <stp>US38373MSC54 Mtge</stp>
        <stp>cpn_typ</stp>
        <stp>[GNMA Mtge Bonds &amp; Swap CF_generator_Mar2016.DUB.xlsm]ISINS_&amp;_SWAPS!R20C16</stp>
        <tr r="P20" s="20"/>
      </tp>
      <tp t="s">
        <v>VARIABLE</v>
        <stp/>
        <stp>##V3_BLP</stp>
        <stp>US38373MSC54 Mtge</stp>
        <stp>cpn_typ</stp>
        <stp>[GNMA Mtge Bonds &amp; Swap CF_generator_Mar2016.DUB.xlsm]ISINS_&amp;_SWAPS!R21C16</stp>
        <tr r="P21" s="20"/>
      </tp>
      <tp t="s">
        <v>VARIABLE</v>
        <stp/>
        <stp>##V3_BLP</stp>
        <stp>US38373MSC54 Mtge</stp>
        <stp>cpn_typ</stp>
        <stp>[GNMA Mtge Bonds &amp; Swap CF_generator_Mar2016.DUB.xlsm]ISINS_&amp;_SWAPS!R10C16</stp>
        <tr r="P10" s="20"/>
      </tp>
      <tp t="s">
        <v>Mtge</v>
        <stp/>
        <stp>##V3_BLP</stp>
        <stp>US38373MG611 Mtge ISIN</stp>
        <stp>market sector des</stp>
        <stp>[GNMA Mtge Bonds &amp; Swap CF_generator_Mar2016.DUB.xlsm]ISINS_&amp;_SWAPS!R11C8</stp>
        <tr r="H11" s="20"/>
      </tp>
      <tp>
        <v>4.7279999999999998</v>
        <stp/>
        <stp>##V3_BLP</stp>
        <stp>US38373MSC54 Mtge</stp>
        <stp>cur_cpn</stp>
        <stp>[GNMA Mtge Bonds &amp; Swap CF_generator_Mar2016.DUB.xlsm]ISINS_&amp;_SWAPS!R20C17</stp>
        <tr r="Q20" s="20"/>
      </tp>
      <tp>
        <v>4.7279999999999998</v>
        <stp/>
        <stp>##V3_BLP</stp>
        <stp>US38373MSC54 Mtge</stp>
        <stp>cur_cpn</stp>
        <stp>[GNMA Mtge Bonds &amp; Swap CF_generator_Mar2016.DUB.xlsm]ISINS_&amp;_SWAPS!R21C17</stp>
        <tr r="Q21" s="20"/>
      </tp>
      <tp>
        <v>4.7279999999999998</v>
        <stp/>
        <stp>##V3_BLP</stp>
        <stp>US38373MSC54 Mtge</stp>
        <stp>cur_cpn</stp>
        <stp>[GNMA Mtge Bonds &amp; Swap CF_generator_Mar2016.DUB.xlsm]ISINS_&amp;_SWAPS!R10C17</stp>
        <tr r="Q10" s="20"/>
      </tp>
      <tp t="s">
        <v>7/25/2016</v>
        <stp/>
        <stp>##V3_BDPV12</stp>
        <stp>US78442GRN87 mtge</stp>
        <stp xml:space="preserve">MTG_NXT_PAY_DT_SET_DT </stp>
        <stp>[GNMA Mtge Bonds &amp; Swap CF_generator_Mar2016.DUB.xlsm]Analysis - ignore!R137C11</stp>
        <tr r="K137" s="1124"/>
      </tp>
      <tp t="s">
        <v>#N/A N/A</v>
        <stp/>
        <stp>##V3_BDPV12</stp>
        <stp>US90342NAB38 mtge</stp>
        <stp>MTG WAL</stp>
        <stp>[GNMA Mtge Bonds &amp; Swap CF_generator_Mar2016.DUB.xlsm]Analysis - ignore!R189C10</stp>
        <stp xml:space="preserve">ALLOW_DYNAMIC_CASHFLOW_CALCS </stp>
        <stp>Y</stp>
        <stp>MTG PREPAY SPEED</stp>
        <stp>50</stp>
        <stp>MTG PREPAY TYP</stp>
        <stp>CLR</stp>
        <tr r="J189" s="1124"/>
      </tp>
      <tp t="s">
        <v>#N/A N/A</v>
        <stp/>
        <stp>##V3_BDPV12</stp>
        <stp>US83714RBA05 mtge</stp>
        <stp>MTG WAL</stp>
        <stp>[GNMA Mtge Bonds &amp; Swap CF_generator_Mar2016.DUB.xlsm]Analysis - ignore!R184C10</stp>
        <stp xml:space="preserve">ALLOW_DYNAMIC_CASHFLOW_CALCS </stp>
        <stp>Y</stp>
        <stp>MTG PREPAY SPEED</stp>
        <stp>2</stp>
        <stp>MTG PREPAY TYP</stp>
        <stp>CPR</stp>
        <tr r="J184" s="1124"/>
      </tp>
      <tp t="s">
        <v>#N/A N/A</v>
        <stp/>
        <stp>##V3_BDPV12</stp>
        <stp>US83714RBB87 mtge</stp>
        <stp>MTG WAL</stp>
        <stp>[GNMA Mtge Bonds &amp; Swap CF_generator_Mar2016.DUB.xlsm]Analysis - ignore!R185C10</stp>
        <stp xml:space="preserve">ALLOW_DYNAMIC_CASHFLOW_CALCS </stp>
        <stp>Y</stp>
        <stp>MTG PREPAY SPEED</stp>
        <stp>2</stp>
        <stp>MTG PREPAY TYP</stp>
        <stp>CPR</stp>
        <tr r="J185" s="1124"/>
      </tp>
      <tp t="s">
        <v>7/15/2016</v>
        <stp/>
        <stp>##V3_BDPV12</stp>
        <stp>US709163EK19 mtge</stp>
        <stp xml:space="preserve">MTG_NXT_PAY_DT_SET_DT </stp>
        <stp>[GNMA Mtge Bonds &amp; Swap CF_generator_Mar2016.DUB.xlsm]Analysis - ignore!R106C11</stp>
        <tr r="K106" s="1124"/>
      </tp>
      <tp t="s">
        <v>#N/A N/A</v>
        <stp/>
        <stp>##V3_BDPV12</stp>
        <stp>US66704JBV98 mtge</stp>
        <stp>MTG WAL</stp>
        <stp>[GNMA Mtge Bonds &amp; Swap CF_generator_Mar2016.DUB.xlsm]Analysis - ignore!R103C10</stp>
        <stp xml:space="preserve">ALLOW_DYNAMIC_CASHFLOW_CALCS </stp>
        <stp>Y</stp>
        <stp>MTG PREPAY SPEED</stp>
        <stp>100</stp>
        <stp>MTG PREPAY TYP</stp>
        <stp>PPC</stp>
        <tr r="J103" s="1124"/>
      </tp>
      <tp t="s">
        <v>#N/A N/A</v>
        <stp/>
        <stp>##V3_BDPV12</stp>
        <stp>US709163EK19 mtge</stp>
        <stp>MTG WAL</stp>
        <stp>[GNMA Mtge Bonds &amp; Swap CF_generator_Mar2016.DUB.xlsm]Analysis - ignore!R106C10</stp>
        <stp xml:space="preserve">ALLOW_DYNAMIC_CASHFLOW_CALCS </stp>
        <stp>Y</stp>
        <stp>MTG PREPAY SPEED</stp>
        <stp>2</stp>
        <stp>MTG PREPAY TYP</stp>
        <stp>CPR</stp>
        <tr r="J106" s="1124"/>
      </tp>
      <tp t="s">
        <v>#N/A N/A</v>
        <stp/>
        <stp>##V3_BDPV12</stp>
        <stp>US90342NAY31 mtge</stp>
        <stp>MTG WAL</stp>
        <stp>[GNMA Mtge Bonds &amp; Swap CF_generator_Mar2016.DUB.xlsm]Analysis - ignore!R190C10</stp>
        <stp xml:space="preserve">ALLOW_DYNAMIC_CASHFLOW_CALCS </stp>
        <stp>Y</stp>
        <stp>MTG PREPAY SPEED</stp>
        <stp>50</stp>
        <stp>MTG PREPAY TYP</stp>
        <stp>PPC</stp>
        <tr r="J190" s="1124"/>
      </tp>
      <tp t="s">
        <v>7/25/2016</v>
        <stp/>
        <stp>##V3_BDPV12</stp>
        <stp>US78442GPH38 mtge</stp>
        <stp xml:space="preserve">MTG_NXT_PAY_DT_SET_DT </stp>
        <stp>[GNMA Mtge Bonds &amp; Swap CF_generator_Mar2016.DUB.xlsm]Analysis - ignore!R131C11</stp>
        <tr r="K131" s="1124"/>
      </tp>
      <tp t="s">
        <v>7/25/2016</v>
        <stp/>
        <stp>##V3_BDPV12</stp>
        <stp>US83149EAH09 mtge</stp>
        <stp xml:space="preserve">MTG_NXT_PAY_DT_SET_DT </stp>
        <stp>[GNMA Mtge Bonds &amp; Swap CF_generator_Mar2016.DUB.xlsm]Analysis - ignore!R180C11</stp>
        <tr r="K180" s="1124"/>
      </tp>
      <tp t="s">
        <v>#N/A N/A</v>
        <stp/>
        <stp>##V3_BDPV12</stp>
        <stp>US78442GMX15 mtge</stp>
        <stp>MTG WAL</stp>
        <stp>[GNMA Mtge Bonds &amp; Swap CF_generator_Mar2016.DUB.xlsm]Analysis - ignore!R125C10</stp>
        <stp xml:space="preserve">ALLOW_DYNAMIC_CASHFLOW_CALCS </stp>
        <stp>Y</stp>
        <stp>MTG PREPAY SPEED</stp>
        <stp>4</stp>
        <stp>MTG PREPAY TYP</stp>
        <stp>CPR</stp>
        <tr r="J125" s="1124"/>
      </tp>
      <tp>
        <v>8.870000000000001</v>
        <stp/>
        <stp>##V3_BDPV12</stp>
        <stp>US64031QCJ85 mtge</stp>
        <stp>MTG WAL</stp>
        <stp>[GNMA Mtge Bonds &amp; Swap CF_generator_Mar2016.DUB.xlsm]Analysis - ignore!R199C10</stp>
        <stp xml:space="preserve">ALLOW_DYNAMIC_CASHFLOW_CALCS </stp>
        <stp>Y</stp>
        <stp>MTG PREPAY SPEED</stp>
        <stp>2</stp>
        <stp>MTG PREPAY TYP</stp>
        <stp>CPR</stp>
        <tr r="J199" s="1124"/>
      </tp>
      <tp>
        <v>4.7914699999999999E-3</v>
        <stp/>
        <stp>##V3_BLP</stp>
        <stp>US38374MEF23 Mtge</stp>
        <stp>mtg_factor</stp>
        <stp>[GNMA Mtge Bonds &amp; Swap CF_generator_Mar2016.DUB.xlsm]ISINS_&amp;_SWAPS!R18C15</stp>
        <tr r="O18" s="20"/>
      </tp>
      <tp>
        <v>4.7914699999999999E-3</v>
        <stp/>
        <stp>##V3_BLP</stp>
        <stp>US38374MEF23 Mtge</stp>
        <stp>mtg_factor</stp>
        <stp>[GNMA Mtge Bonds &amp; Swap CF_generator_Mar2016.DUB.xlsm]ISINS_&amp;_SWAPS!R19C15</stp>
        <tr r="O19" s="20"/>
      </tp>
      <tp t="s">
        <v>Mtge</v>
        <stp/>
        <stp>##V3_BLP</stp>
        <stp>US38373MK746 Mtge ISIN</stp>
        <stp>market sector des</stp>
        <stp>[GNMA Mtge Bonds &amp; Swap CF_generator_Mar2016.DUB.xlsm]ISINS_&amp;_SWAPS!R12C8</stp>
        <tr r="H12" s="20"/>
      </tp>
      <tp t="s">
        <v>Mtge</v>
        <stp/>
        <stp>##V3_BLP</stp>
        <stp>US38373MSC54 Mtge ISIN</stp>
        <stp>market sector des</stp>
        <stp>[GNMA Mtge Bonds &amp; Swap CF_generator_Mar2016.DUB.xlsm]ISINS_&amp;_SWAPS!R20C8</stp>
        <tr r="H20" s="20"/>
      </tp>
      <tp t="s">
        <v>Mtge</v>
        <stp/>
        <stp>##V3_BLP</stp>
        <stp>US38373MSC54 Mtge ISIN</stp>
        <stp>market sector des</stp>
        <stp>[GNMA Mtge Bonds &amp; Swap CF_generator_Mar2016.DUB.xlsm]ISINS_&amp;_SWAPS!R10C8</stp>
        <tr r="H10" s="20"/>
      </tp>
      <tp t="s">
        <v>#N/A N/A</v>
        <stp/>
        <stp>##V3_BDPV12</stp>
        <stp>US708788AB03 mtge</stp>
        <stp>MTG WAL</stp>
        <stp>[GNMA Mtge Bonds &amp; Swap CF_generator_Mar2016.DUB.xlsm]Analysis - ignore!R104C10</stp>
        <stp xml:space="preserve">ALLOW_DYNAMIC_CASHFLOW_CALCS </stp>
        <stp>Y</stp>
        <stp>MTG PREPAY SPEED</stp>
        <stp>2</stp>
        <stp>MTG PREPAY TYP</stp>
        <stp>CPR</stp>
        <tr r="J104" s="1124"/>
      </tp>
      <tp t="s">
        <v>#N/A N/A</v>
        <stp/>
        <stp>##V3_BDPV12</stp>
        <stp>US708788AC85 mtge</stp>
        <stp>MTG WAL</stp>
        <stp>[GNMA Mtge Bonds &amp; Swap CF_generator_Mar2016.DUB.xlsm]Analysis - ignore!R105C10</stp>
        <stp xml:space="preserve">ALLOW_DYNAMIC_CASHFLOW_CALCS </stp>
        <stp>Y</stp>
        <stp>MTG PREPAY SPEED</stp>
        <stp>2</stp>
        <stp>MTG PREPAY TYP</stp>
        <stp>CPR</stp>
        <tr r="J105" s="1124"/>
      </tp>
      <tp t="s">
        <v>7/25/2016</v>
        <stp/>
        <stp>##V3_BDPV12</stp>
        <stp>US78442GQJ84 mtge</stp>
        <stp xml:space="preserve">MTG_NXT_PAY_DT_SET_DT </stp>
        <stp>[GNMA Mtge Bonds &amp; Swap CF_generator_Mar2016.DUB.xlsm]Analysis - ignore!R134C11</stp>
        <tr r="K134" s="1124"/>
      </tp>
      <tp t="s">
        <v>6/15/2016</v>
        <stp/>
        <stp>##V3_BDPV12</stp>
        <stp>US784420AJ00 mtge</stp>
        <stp xml:space="preserve">MTG_NXT_PAY_DT_SET_DT </stp>
        <stp>[GNMA Mtge Bonds &amp; Swap CF_generator_Mar2016.DUB.xlsm]Analysis - ignore!R109C11</stp>
        <tr r="K109" s="1124"/>
      </tp>
      <tp t="s">
        <v>7/25/2016</v>
        <stp/>
        <stp>##V3_BDPV12</stp>
        <stp>US78442GSJ66 mtge</stp>
        <stp xml:space="preserve">MTG_NXT_PAY_DT_SET_DT </stp>
        <stp>[GNMA Mtge Bonds &amp; Swap CF_generator_Mar2016.DUB.xlsm]Analysis - ignore!R141C11</stp>
        <tr r="K141" s="1124"/>
      </tp>
      <tp>
        <v>0</v>
        <stp/>
        <stp>##V3_BLP</stp>
        <stp>US38374MEF23 Mtge</stp>
        <stp>mtg_wal</stp>
        <stp>[GNMA Mtge Bonds &amp; Swap CF_generator_Mar2016.DUB.xlsm]ISINS_&amp;_SWAPS!R19C24</stp>
        <tr r="X19" s="20"/>
      </tp>
      <tp>
        <v>0</v>
        <stp/>
        <stp>##V3_BLP</stp>
        <stp>US38374MEF23 Mtge</stp>
        <stp>mtg_wal</stp>
        <stp>[GNMA Mtge Bonds &amp; Swap CF_generator_Mar2016.DUB.xlsm]ISINS_&amp;_SWAPS!R18C24</stp>
        <tr r="X18" s="20"/>
      </tp>
      <tp t="s">
        <v>VARIABLE</v>
        <stp/>
        <stp>##V3_BLP</stp>
        <stp>US38374MEF23 Mtge</stp>
        <stp>cpn_typ</stp>
        <stp>[GNMA Mtge Bonds &amp; Swap CF_generator_Mar2016.DUB.xlsm]ISINS_&amp;_SWAPS!R18C16</stp>
        <tr r="P18" s="20"/>
      </tp>
      <tp t="s">
        <v>VARIABLE</v>
        <stp/>
        <stp>##V3_BLP</stp>
        <stp>US38374MEF23 Mtge</stp>
        <stp>cpn_typ</stp>
        <stp>[GNMA Mtge Bonds &amp; Swap CF_generator_Mar2016.DUB.xlsm]ISINS_&amp;_SWAPS!R19C16</stp>
        <tr r="P19" s="20"/>
      </tp>
      <tp t="s">
        <v>Mtge</v>
        <stp/>
        <stp>##V3_BLP</stp>
        <stp>US38373MSC54 Mtge ISIN</stp>
        <stp>market sector des</stp>
        <stp>[GNMA Mtge Bonds &amp; Swap CF_generator_Mar2016.DUB.xlsm]ISINS_&amp;_SWAPS!R21C8</stp>
        <tr r="H21" s="20"/>
      </tp>
      <tp>
        <v>4.8860000000000001</v>
        <stp/>
        <stp>##V3_BLP</stp>
        <stp>US38374MEF23 Mtge</stp>
        <stp>cur_cpn</stp>
        <stp>[GNMA Mtge Bonds &amp; Swap CF_generator_Mar2016.DUB.xlsm]ISINS_&amp;_SWAPS!R18C17</stp>
        <tr r="Q18" s="20"/>
      </tp>
      <tp>
        <v>4.8860000000000001</v>
        <stp/>
        <stp>##V3_BLP</stp>
        <stp>US38374MEF23 Mtge</stp>
        <stp>cur_cpn</stp>
        <stp>[GNMA Mtge Bonds &amp; Swap CF_generator_Mar2016.DUB.xlsm]ISINS_&amp;_SWAPS!R19C17</stp>
        <tr r="Q19" s="20"/>
      </tp>
      <tp t="s">
        <v>#N/A N/A</v>
        <stp/>
        <stp>##V3_BDPV12</stp>
        <stp>US78442GNC68 mtge</stp>
        <stp>MTG WAL</stp>
        <stp>[GNMA Mtge Bonds &amp; Swap CF_generator_Mar2016.DUB.xlsm]Analysis - ignore!R126C10</stp>
        <stp xml:space="preserve">ALLOW_DYNAMIC_CASHFLOW_CALCS </stp>
        <stp>Y</stp>
        <stp>MTG PREPAY SPEED</stp>
        <stp>2</stp>
        <stp>MTG PREPAY TYP</stp>
        <stp>CPR</stp>
        <tr r="J126" s="1124"/>
      </tp>
      <tp t="s">
        <v>7/25/2016</v>
        <stp/>
        <stp>##V3_BDPV12</stp>
        <stp>US78442GSK30 mtge</stp>
        <stp xml:space="preserve">MTG_NXT_PAY_DT_SET_DT </stp>
        <stp>[GNMA Mtge Bonds &amp; Swap CF_generator_Mar2016.DUB.xlsm]Analysis - ignore!R142C11</stp>
        <tr r="K142" s="1124"/>
      </tp>
      <tp t="s">
        <v>#N/A N/A</v>
        <stp/>
        <stp>##V3_BDPV12</stp>
        <stp>US78442GNP71 mtge</stp>
        <stp>MTG WAL</stp>
        <stp>[GNMA Mtge Bonds &amp; Swap CF_generator_Mar2016.DUB.xlsm]Analysis - ignore!R127C10</stp>
        <stp xml:space="preserve">ALLOW_DYNAMIC_CASHFLOW_CALCS </stp>
        <stp>Y</stp>
        <stp>MTG PREPAY SPEED</stp>
        <stp>4</stp>
        <stp>MTG PREPAY TYP</stp>
        <stp>CPR</stp>
        <tr r="J127" s="1124"/>
      </tp>
      <tp t="s">
        <v>#N/A N/A</v>
        <stp/>
        <stp>##V3_BDPV12</stp>
        <stp>US429827AX60 mtge</stp>
        <stp>MTG WAL</stp>
        <stp>[GNMA Mtge Bonds &amp; Swap CF_generator_Mar2016.DUB.xlsm]Analysis - ignore!R204C10</stp>
        <stp xml:space="preserve">ALLOW_DYNAMIC_CASHFLOW_CALCS </stp>
        <stp>Y</stp>
        <stp>MTG PREPAY SPEED</stp>
        <stp>2</stp>
        <stp>MTG PREPAY TYP</stp>
        <stp>CPR</stp>
        <tr r="J204" s="1124"/>
      </tp>
      <tp t="s">
        <v>#N/A N/A</v>
        <stp/>
        <stp>##V3_BDPV12</stp>
        <stp>US78442GNU66 mtge</stp>
        <stp>MTG WAL</stp>
        <stp>[GNMA Mtge Bonds &amp; Swap CF_generator_Mar2016.DUB.xlsm]Analysis - ignore!R128C10</stp>
        <stp xml:space="preserve">ALLOW_DYNAMIC_CASHFLOW_CALCS </stp>
        <stp>Y</stp>
        <stp>MTG PREPAY SPEED</stp>
        <stp>4</stp>
        <stp>MTG PREPAY TYP</stp>
        <stp>CPR</stp>
        <tr r="J128" s="1124"/>
      </tp>
      <tp t="s">
        <v>#N/A N/A</v>
        <stp/>
        <stp>##V3_BDPV12</stp>
        <stp>US78442GNV40 mtge</stp>
        <stp>MTG WAL</stp>
        <stp>[GNMA Mtge Bonds &amp; Swap CF_generator_Mar2016.DUB.xlsm]Analysis - ignore!R129C10</stp>
        <stp xml:space="preserve">ALLOW_DYNAMIC_CASHFLOW_CALCS </stp>
        <stp>Y</stp>
        <stp>MTG PREPAY SPEED</stp>
        <stp>4</stp>
        <stp>MTG PREPAY TYP</stp>
        <stp>CPR</stp>
        <tr r="J129" s="1124"/>
      </tp>
      <tp t="s">
        <v>#N/A N/A</v>
        <stp/>
        <stp>##V3_BDPV12</stp>
        <stp>US429827AW87 mtge</stp>
        <stp>MTG WAL</stp>
        <stp>[GNMA Mtge Bonds &amp; Swap CF_generator_Mar2016.DUB.xlsm]Analysis - ignore!R203C10</stp>
        <stp xml:space="preserve">ALLOW_DYNAMIC_CASHFLOW_CALCS </stp>
        <stp>Y</stp>
        <stp>MTG PREPAY SPEED</stp>
        <stp>2</stp>
        <stp>MTG PREPAY TYP</stp>
        <stp>CPR</stp>
        <tr r="J203" s="1124"/>
      </tp>
      <tp t="s">
        <v>#N/A N/A</v>
        <stp/>
        <stp>##V3_BDPV12</stp>
        <stp>US429827AU22 mtge</stp>
        <stp>MTG WAL</stp>
        <stp>[GNMA Mtge Bonds &amp; Swap CF_generator_Mar2016.DUB.xlsm]Analysis - ignore!R201C10</stp>
        <stp xml:space="preserve">ALLOW_DYNAMIC_CASHFLOW_CALCS </stp>
        <stp>Y</stp>
        <stp>MTG PREPAY SPEED</stp>
        <stp>2</stp>
        <stp>MTG PREPAY TYP</stp>
        <stp>CPR</stp>
        <tr r="J201" s="1124"/>
      </tp>
      <tp t="s">
        <v>#N/A N/A</v>
        <stp/>
        <stp>##V3_BDPV12</stp>
        <stp>US429827AV05 mtge</stp>
        <stp>MTG WAL</stp>
        <stp>[GNMA Mtge Bonds &amp; Swap CF_generator_Mar2016.DUB.xlsm]Analysis - ignore!R202C10</stp>
        <stp xml:space="preserve">ALLOW_DYNAMIC_CASHFLOW_CALCS </stp>
        <stp>Y</stp>
        <stp>MTG PREPAY SPEED</stp>
        <stp>2</stp>
        <stp>MTG PREPAY TYP</stp>
        <stp>CPR</stp>
        <tr r="J202" s="1124"/>
      </tp>
      <tp>
        <v>0.20053151999999999</v>
        <stp/>
        <stp>##V3_BLP</stp>
        <stp>US38373MG611 Mtge</stp>
        <stp>mtg_factor</stp>
        <stp>[GNMA Mtge Bonds &amp; Swap CF_generator_Mar2016.DUB.xlsm]ISINS_&amp;_SWAPS!R11C15</stp>
        <tr r="O11" s="20"/>
      </tp>
      <tp>
        <v>0.20053151999999999</v>
        <stp/>
        <stp>##V3_BLP</stp>
        <stp>US38373MG611 Mtge</stp>
        <stp>mtg_factor</stp>
        <stp>[GNMA Mtge Bonds &amp; Swap CF_generator_Mar2016.DUB.xlsm]ISINS_&amp;_SWAPS!R22C15</stp>
        <tr r="O22" s="20"/>
      </tp>
      <tp>
        <v>0.20053151999999999</v>
        <stp/>
        <stp>##V3_BLP</stp>
        <stp>US38373MG611 Mtge</stp>
        <stp>mtg_factor</stp>
        <stp>[GNMA Mtge Bonds &amp; Swap CF_generator_Mar2016.DUB.xlsm]ISINS_&amp;_SWAPS!R23C15</stp>
        <tr r="O23" s="20"/>
      </tp>
      <tp t="s">
        <v>Mtge</v>
        <stp/>
        <stp>##V3_BLP</stp>
        <stp>US38374MEF23 Mtge ISIN</stp>
        <stp>market sector des</stp>
        <stp>[GNMA Mtge Bonds &amp; Swap CF_generator_Mar2016.DUB.xlsm]ISINS_&amp;_SWAPS!R19C8</stp>
        <tr r="H19" s="20"/>
      </tp>
      <tp t="s">
        <v>7/25/2016</v>
        <stp/>
        <stp>##V3_BDPV12</stp>
        <stp>US78443FAD96 mtge</stp>
        <stp xml:space="preserve">MTG_NXT_PAY_DT_SET_DT </stp>
        <stp>[GNMA Mtge Bonds &amp; Swap CF_generator_Mar2016.DUB.xlsm]Analysis - ignore!R146C11</stp>
        <tr r="K146" s="1124"/>
      </tp>
      <tp t="s">
        <v>9/1/2016</v>
        <stp/>
        <stp>##V3_BDPV12</stp>
        <stp>US83714RBA05 mtge</stp>
        <stp xml:space="preserve">MTG_NXT_PAY_DT_SET_DT </stp>
        <stp>[GNMA Mtge Bonds &amp; Swap CF_generator_Mar2016.DUB.xlsm]Analysis - ignore!R184C11</stp>
        <tr r="K184" s="1124"/>
      </tp>
      <tp t="s">
        <v>7/25/2016</v>
        <stp/>
        <stp>##V3_BDPV12</stp>
        <stp>US78443YAD85 mtge</stp>
        <stp xml:space="preserve">MTG_NXT_PAY_DT_SET_DT </stp>
        <stp>[GNMA Mtge Bonds &amp; Swap CF_generator_Mar2016.DUB.xlsm]Analysis - ignore!R161C11</stp>
        <tr r="K161" s="1124"/>
      </tp>
      <tp t="s">
        <v>7/25/2016</v>
        <stp/>
        <stp>##V3_BDPV12</stp>
        <stp>US78442GSD96 mtge</stp>
        <stp xml:space="preserve">MTG_NXT_PAY_DT_SET_DT </stp>
        <stp>[GNMA Mtge Bonds &amp; Swap CF_generator_Mar2016.DUB.xlsm]Analysis - ignore!R140C11</stp>
        <tr r="K140" s="1124"/>
      </tp>
      <tp t="s">
        <v>7/25/2016</v>
        <stp/>
        <stp>##V3_BDPV12</stp>
        <stp>US78444XAD93 mtge</stp>
        <stp xml:space="preserve">MTG_NXT_PAY_DT_SET_DT </stp>
        <stp>[GNMA Mtge Bonds &amp; Swap CF_generator_Mar2016.DUB.xlsm]Analysis - ignore!R171C11</stp>
        <tr r="K171" s="1124"/>
      </tp>
      <tp t="s">
        <v>7/25/2016</v>
        <stp/>
        <stp>##V3_BDPV12</stp>
        <stp>US78444AAD90 mtge</stp>
        <stp xml:space="preserve">MTG_NXT_PAY_DT_SET_DT </stp>
        <stp>[GNMA Mtge Bonds &amp; Swap CF_generator_Mar2016.DUB.xlsm]Analysis - ignore!R162C11</stp>
        <tr r="K162" s="1124"/>
      </tp>
      <tp t="s">
        <v>7/25/2016</v>
        <stp/>
        <stp>##V3_BDPV12</stp>
        <stp>US78445FAD78 mtge</stp>
        <stp xml:space="preserve">MTG_NXT_PAY_DT_SET_DT </stp>
        <stp>[GNMA Mtge Bonds &amp; Swap CF_generator_Mar2016.DUB.xlsm]Analysis - ignore!R178C11</stp>
        <tr r="K178" s="1124"/>
      </tp>
      <tp t="s">
        <v>7/25/2016</v>
        <stp/>
        <stp>##V3_BDPV12</stp>
        <stp>US78443XAD03 mtge</stp>
        <stp xml:space="preserve">MTG_NXT_PAY_DT_SET_DT </stp>
        <stp>[GNMA Mtge Bonds &amp; Swap CF_generator_Mar2016.DUB.xlsm]Analysis - ignore!R160C11</stp>
        <tr r="K160" s="1124"/>
      </tp>
      <tp t="s">
        <v>8/15/2016</v>
        <stp/>
        <stp>##V3_BDPV12</stp>
        <stp>US784420AD30 mtge</stp>
        <stp xml:space="preserve">MTG_NXT_PAY_DT_SET_DT </stp>
        <stp>[GNMA Mtge Bonds &amp; Swap CF_generator_Mar2016.DUB.xlsm]Analysis - ignore!R108C11</stp>
        <tr r="K108" s="1124"/>
      </tp>
      <tp t="s">
        <v>7/25/2016</v>
        <stp/>
        <stp>##V3_BDPV12</stp>
        <stp>US78445CAD48 mtge</stp>
        <stp xml:space="preserve">MTG_NXT_PAY_DT_SET_DT </stp>
        <stp>[GNMA Mtge Bonds &amp; Swap CF_generator_Mar2016.DUB.xlsm]Analysis - ignore!R174C11</stp>
        <tr r="K174" s="1124"/>
      </tp>
      <tp t="s">
        <v>7/25/2016</v>
        <stp/>
        <stp>##V3_BDPV12</stp>
        <stp>US78443HAD52 mtge</stp>
        <stp xml:space="preserve">MTG_NXT_PAY_DT_SET_DT </stp>
        <stp>[GNMA Mtge Bonds &amp; Swap CF_generator_Mar2016.DUB.xlsm]Analysis - ignore!R152C11</stp>
        <tr r="K152" s="1124"/>
      </tp>
      <tp t="s">
        <v>6/16/2016</v>
        <stp/>
        <stp>##V3_BLP</stp>
        <stp>US38374MEF23 Mtge</stp>
        <stp>prev_cpn_dt</stp>
        <stp>[GNMA Mtge Bonds &amp; Swap CF_generator_Mar2016.DUB.xlsm]ISINS_&amp;_SWAPS!R9C18</stp>
        <tr r="R9" s="20"/>
      </tp>
      <tp t="s">
        <v>7/25/2016</v>
        <stp/>
        <stp>##V3_BDPV12</stp>
        <stp>US78443VAD47 mtge</stp>
        <stp xml:space="preserve">MTG_NXT_PAY_DT_SET_DT </stp>
        <stp>[GNMA Mtge Bonds &amp; Swap CF_generator_Mar2016.DUB.xlsm]Analysis - ignore!R157C11</stp>
        <tr r="K157" s="1124"/>
      </tp>
      <tp t="s">
        <v>6/15/2016</v>
        <stp/>
        <stp>##V3_BDPV12</stp>
        <stp>US784428AD65 mtge</stp>
        <stp xml:space="preserve">MTG_NXT_PAY_DT_SET_DT </stp>
        <stp>[GNMA Mtge Bonds &amp; Swap CF_generator_Mar2016.DUB.xlsm]Analysis - ignore!R120C11</stp>
        <tr r="K120" s="1124"/>
      </tp>
      <tp t="s">
        <v>8/15/2016</v>
        <stp/>
        <stp>##V3_BDPV12</stp>
        <stp>US784423AD78 mtge</stp>
        <stp xml:space="preserve">MTG_NXT_PAY_DT_SET_DT </stp>
        <stp>[GNMA Mtge Bonds &amp; Swap CF_generator_Mar2016.DUB.xlsm]Analysis - ignore!R114C11</stp>
        <tr r="K114" s="1124"/>
      </tp>
      <tp t="s">
        <v>7/25/2016</v>
        <stp/>
        <stp>##V3_BDPV12</stp>
        <stp>US78444EAD13 mtge</stp>
        <stp xml:space="preserve">MTG_NXT_PAY_DT_SET_DT </stp>
        <stp>[GNMA Mtge Bonds &amp; Swap CF_generator_Mar2016.DUB.xlsm]Analysis - ignore!R165C11</stp>
        <tr r="K165" s="1124"/>
      </tp>
      <tp t="s">
        <v>6/15/2016</v>
        <stp/>
        <stp>##V3_BDPV12</stp>
        <stp>US78444NAD12 mtge</stp>
        <stp xml:space="preserve">MTG_NXT_PAY_DT_SET_DT </stp>
        <stp>[GNMA Mtge Bonds &amp; Swap CF_generator_Mar2016.DUB.xlsm]Analysis - ignore!R170C11</stp>
        <tr r="K170" s="1124"/>
      </tp>
      <tp t="s">
        <v>6/27/2016</v>
        <stp/>
        <stp>##V3_BDPV12</stp>
        <stp>USU63718AG22 mtge</stp>
        <stp xml:space="preserve">MTG_NXT_PAY_DT_SET_DT </stp>
        <stp>[GNMA Mtge Bonds &amp; Swap CF_generator_Mar2016.DUB.xlsm]Analysis - ignore!R207C11</stp>
        <tr r="K207" s="1124"/>
      </tp>
      <tp t="s">
        <v>Mtge</v>
        <stp/>
        <stp>##V3_BLP</stp>
        <stp>US38374MEF23 Mtge ISIN</stp>
        <stp>market sector des</stp>
        <stp>[GNMA Mtge Bonds &amp; Swap CF_generator_Mar2016.DUB.xlsm]ISINS_&amp;_SWAPS!R18C8</stp>
        <tr r="H18" s="20"/>
      </tp>
      <tp t="s">
        <v>7/25/2016</v>
        <stp/>
        <stp>##V3_BDPV12</stp>
        <stp>US78442GQE97 mtge</stp>
        <stp xml:space="preserve">MTG_NXT_PAY_DT_SET_DT </stp>
        <stp>[GNMA Mtge Bonds &amp; Swap CF_generator_Mar2016.DUB.xlsm]Analysis - ignore!R132C11</stp>
        <tr r="K132" s="1124"/>
      </tp>
      <tp t="s">
        <v>7/25/2016</v>
        <stp/>
        <stp>##V3_BDPV12</stp>
        <stp>US78444XAE76 mtge</stp>
        <stp xml:space="preserve">MTG_NXT_PAY_DT_SET_DT </stp>
        <stp>[GNMA Mtge Bonds &amp; Swap CF_generator_Mar2016.DUB.xlsm]Analysis - ignore!R172C11</stp>
        <tr r="K172" s="1124"/>
      </tp>
      <tp t="s">
        <v>7/25/2016</v>
        <stp/>
        <stp>##V3_BDPV12</stp>
        <stp>US78444AAE73 mtge</stp>
        <stp xml:space="preserve">MTG_NXT_PAY_DT_SET_DT </stp>
        <stp>[GNMA Mtge Bonds &amp; Swap CF_generator_Mar2016.DUB.xlsm]Analysis - ignore!R163C11</stp>
        <tr r="K163" s="1124"/>
      </tp>
      <tp t="s">
        <v>7/25/2016</v>
        <stp/>
        <stp>##V3_BDPV12</stp>
        <stp>US78443HAE36 mtge</stp>
        <stp xml:space="preserve">MTG_NXT_PAY_DT_SET_DT </stp>
        <stp>[GNMA Mtge Bonds &amp; Swap CF_generator_Mar2016.DUB.xlsm]Analysis - ignore!R153C11</stp>
        <tr r="K153" s="1124"/>
      </tp>
      <tp t="s">
        <v>7/25/2016</v>
        <stp/>
        <stp>##V3_BDPV12</stp>
        <stp>US78443VAE20 mtge</stp>
        <stp xml:space="preserve">MTG_NXT_PAY_DT_SET_DT </stp>
        <stp>[GNMA Mtge Bonds &amp; Swap CF_generator_Mar2016.DUB.xlsm]Analysis - ignore!R158C11</stp>
        <tr r="K158" s="1124"/>
      </tp>
      <tp t="s">
        <v>7/25/2016</v>
        <stp/>
        <stp>##V3_BDPV12</stp>
        <stp>US83149EAE77 mtge</stp>
        <stp xml:space="preserve">MTG_NXT_PAY_DT_SET_DT </stp>
        <stp>[GNMA Mtge Bonds &amp; Swap CF_generator_Mar2016.DUB.xlsm]Analysis - ignore!R179C11</stp>
        <tr r="K179" s="1124"/>
      </tp>
      <tp t="s">
        <v>7/25/2016</v>
        <stp/>
        <stp>##V3_BDPV12</stp>
        <stp>US78443GAE52 mtge</stp>
        <stp xml:space="preserve">MTG_NXT_PAY_DT_SET_DT </stp>
        <stp>[GNMA Mtge Bonds &amp; Swap CF_generator_Mar2016.DUB.xlsm]Analysis - ignore!R149C11</stp>
        <tr r="K149" s="1124"/>
      </tp>
      <tp t="s">
        <v>7/25/2016</v>
        <stp/>
        <stp>##V3_BDPV12</stp>
        <stp>US92978JAF03 mtge</stp>
        <stp xml:space="preserve">MTG_NXT_PAY_DT_SET_DT </stp>
        <stp>[GNMA Mtge Bonds &amp; Swap CF_generator_Mar2016.DUB.xlsm]Analysis - ignore!R192C11</stp>
        <tr r="K192" s="1124"/>
      </tp>
      <tp t="s">
        <v>8/15/2016</v>
        <stp/>
        <stp>##V3_BDPV12</stp>
        <stp>US784423AE51 mtge</stp>
        <stp xml:space="preserve">MTG_NXT_PAY_DT_SET_DT </stp>
        <stp>[GNMA Mtge Bonds &amp; Swap CF_generator_Mar2016.DUB.xlsm]Analysis - ignore!R115C11</stp>
        <tr r="K115" s="1124"/>
      </tp>
      <tp t="s">
        <v>6/15/2016</v>
        <stp/>
        <stp>##V3_BDPV12</stp>
        <stp>US78442GKE51 mtge</stp>
        <stp xml:space="preserve">MTG_NXT_PAY_DT_SET_DT </stp>
        <stp>[GNMA Mtge Bonds &amp; Swap CF_generator_Mar2016.DUB.xlsm]Analysis - ignore!R123C11</stp>
        <tr r="K123" s="1124"/>
      </tp>
      <tp t="s">
        <v>6/15/2016</v>
        <stp/>
        <stp>##V3_BDPV12</stp>
        <stp>US784427AE65 mtge</stp>
        <stp xml:space="preserve">MTG_NXT_PAY_DT_SET_DT </stp>
        <stp>[GNMA Mtge Bonds &amp; Swap CF_generator_Mar2016.DUB.xlsm]Analysis - ignore!R118C11</stp>
        <tr r="K118" s="1124"/>
      </tp>
      <tp t="s">
        <v>7/25/2016</v>
        <stp/>
        <stp>##V3_BDPV12</stp>
        <stp>US78443FAE79 mtge</stp>
        <stp xml:space="preserve">MTG_NXT_PAY_DT_SET_DT </stp>
        <stp>[GNMA Mtge Bonds &amp; Swap CF_generator_Mar2016.DUB.xlsm]Analysis - ignore!R147C11</stp>
        <tr r="K147" s="1124"/>
      </tp>
      <tp t="s">
        <v>7/25/2016</v>
        <stp/>
        <stp>##V3_BDPV12</stp>
        <stp>US78443BAE65 mtge</stp>
        <stp xml:space="preserve">MTG_NXT_PAY_DT_SET_DT </stp>
        <stp>[GNMA Mtge Bonds &amp; Swap CF_generator_Mar2016.DUB.xlsm]Analysis - ignore!R144C11</stp>
        <tr r="K144" s="1124"/>
      </tp>
      <tp t="s">
        <v>7/25/2016</v>
        <stp/>
        <stp>##V3_BDPV12</stp>
        <stp>US78443KAE64 mtge</stp>
        <stp xml:space="preserve">MTG_NXT_PAY_DT_SET_DT </stp>
        <stp>[GNMA Mtge Bonds &amp; Swap CF_generator_Mar2016.DUB.xlsm]Analysis - ignore!R155C11</stp>
        <tr r="K155" s="1124"/>
      </tp>
      <tp t="s">
        <v>#N/A N/A</v>
        <stp/>
        <stp>##V3_BDPV12</stp>
        <stp>US78442GFL59 mtge</stp>
        <stp>MTG WAL</stp>
        <stp>[GNMA Mtge Bonds &amp; Swap CF_generator_Mar2016.DUB.xlsm]Analysis - ignore!R122C10</stp>
        <stp xml:space="preserve">ALLOW_DYNAMIC_CASHFLOW_CALCS </stp>
        <stp>Y</stp>
        <stp>MTG PREPAY SPEED</stp>
        <stp>100</stp>
        <stp>MTG PREPAY TYP</stp>
        <stp>PPC</stp>
        <tr r="J122" s="1124"/>
      </tp>
      <tp>
        <v>2.4299999999999997</v>
        <stp/>
        <stp>##V3_BDPV12</stp>
        <stp>US66704JBC18 mtge</stp>
        <stp>MTG WAL</stp>
        <stp>[GNMA Mtge Bonds &amp; Swap CF_generator_Mar2016.DUB.xlsm]Analysis - ignore!R100C10</stp>
        <stp xml:space="preserve">ALLOW_DYNAMIC_CASHFLOW_CALCS </stp>
        <stp>Y</stp>
        <stp>MTG PREPAY SPEED</stp>
        <stp>3</stp>
        <stp>MTG PREPAY TYP</stp>
        <stp>CPR</stp>
        <tr r="J100" s="1124"/>
      </tp>
      <tp t="s">
        <v>7/28/2016</v>
        <stp/>
        <stp>##V3_BDPV12</stp>
        <stp>US86800NAB64 mtge</stp>
        <stp xml:space="preserve">MTG_NXT_PAY_DT_SET_DT </stp>
        <stp>[GNMA Mtge Bonds &amp; Swap CF_generator_Mar2016.DUB.xlsm]Analysis - ignore!R186C11</stp>
        <tr r="K186" s="1124"/>
      </tp>
      <tp t="s">
        <v>#N/A N/A</v>
        <stp/>
        <stp>##V3_BDPV12</stp>
        <stp>US784420AJ00 mtge</stp>
        <stp>MTG WAL</stp>
        <stp>[GNMA Mtge Bonds &amp; Swap CF_generator_Mar2016.DUB.xlsm]Analysis - ignore!R109C10</stp>
        <stp xml:space="preserve">ALLOW_DYNAMIC_CASHFLOW_CALCS </stp>
        <stp>Y</stp>
        <stp>MTG PREPAY SPEED</stp>
        <stp>0</stp>
        <stp>MTG PREPAY TYP</stp>
        <stp>CPR</stp>
        <tr r="J109" s="1124"/>
      </tp>
      <tp>
        <v>4.1199999999999992</v>
        <stp/>
        <stp>##V3_BDPV12</stp>
        <stp>US66704JBG22 mtge</stp>
        <stp>MTG WAL</stp>
        <stp>[GNMA Mtge Bonds &amp; Swap CF_generator_Mar2016.DUB.xlsm]Analysis - ignore!R101C10</stp>
        <stp xml:space="preserve">ALLOW_DYNAMIC_CASHFLOW_CALCS </stp>
        <stp>Y</stp>
        <stp>MTG PREPAY SPEED</stp>
        <stp>2</stp>
        <stp>MTG PREPAY TYP</stp>
        <stp>CPR</stp>
        <tr r="J101" s="1124"/>
      </tp>
      <tp t="s">
        <v>6/15/2016</v>
        <stp/>
        <stp>##V3_BDPV12</stp>
        <stp>US784428AF14 mtge</stp>
        <stp xml:space="preserve">MTG_NXT_PAY_DT_SET_DT </stp>
        <stp>[GNMA Mtge Bonds &amp; Swap CF_generator_Mar2016.DUB.xlsm]Analysis - ignore!R121C11</stp>
        <tr r="K121" s="1124"/>
      </tp>
      <tp t="s">
        <v>7/25/2016</v>
        <stp/>
        <stp>##V3_BDPV12</stp>
        <stp>US78443HAF01 mtge</stp>
        <stp xml:space="preserve">MTG_NXT_PAY_DT_SET_DT </stp>
        <stp>[GNMA Mtge Bonds &amp; Swap CF_generator_Mar2016.DUB.xlsm]Analysis - ignore!R154C11</stp>
        <tr r="K154" s="1124"/>
      </tp>
      <tp t="s">
        <v>8/15/2016</v>
        <stp/>
        <stp>##V3_BDPV12</stp>
        <stp>US784423AF27 mtge</stp>
        <stp xml:space="preserve">MTG_NXT_PAY_DT_SET_DT </stp>
        <stp>[GNMA Mtge Bonds &amp; Swap CF_generator_Mar2016.DUB.xlsm]Analysis - ignore!R116C11</stp>
        <tr r="K116" s="1124"/>
      </tp>
      <tp t="s">
        <v>7/25/2016</v>
        <stp/>
        <stp>##V3_BDPV12</stp>
        <stp>US78443KAF30 mtge</stp>
        <stp xml:space="preserve">MTG_NXT_PAY_DT_SET_DT </stp>
        <stp>[GNMA Mtge Bonds &amp; Swap CF_generator_Mar2016.DUB.xlsm]Analysis - ignore!R156C11</stp>
        <tr r="K156" s="1124"/>
      </tp>
      <tp t="s">
        <v>6/15/2016</v>
        <stp/>
        <stp>##V3_BDPV12</stp>
        <stp>US784427AF31 mtge</stp>
        <stp xml:space="preserve">MTG_NXT_PAY_DT_SET_DT </stp>
        <stp>[GNMA Mtge Bonds &amp; Swap CF_generator_Mar2016.DUB.xlsm]Analysis - ignore!R119C11</stp>
        <tr r="K119" s="1124"/>
      </tp>
      <tp>
        <v>7.6</v>
        <stp/>
        <stp>##V3_BDPV12</stp>
        <stp>US66704JBH05 mtge</stp>
        <stp>MTG WAL</stp>
        <stp>[GNMA Mtge Bonds &amp; Swap CF_generator_Mar2016.DUB.xlsm]Analysis - ignore!R102C10</stp>
        <stp xml:space="preserve">ALLOW_DYNAMIC_CASHFLOW_CALCS </stp>
        <stp>Y</stp>
        <stp>MTG PREPAY SPEED</stp>
        <stp>2</stp>
        <stp>MTG PREPAY TYP</stp>
        <stp>CPR</stp>
        <tr r="J102" s="1124"/>
      </tp>
      <tp t="s">
        <v>7/25/2016</v>
        <stp/>
        <stp>##V3_BDPV12</stp>
        <stp>US78443GAF28 mtge</stp>
        <stp xml:space="preserve">MTG_NXT_PAY_DT_SET_DT </stp>
        <stp>[GNMA Mtge Bonds &amp; Swap CF_generator_Mar2016.DUB.xlsm]Analysis - ignore!R150C11</stp>
        <tr r="K150" s="1124"/>
      </tp>
      <tp t="s">
        <v>7/25/2016</v>
        <stp/>
        <stp>##V3_BDPV12</stp>
        <stp>US78443FAF45 mtge</stp>
        <stp xml:space="preserve">MTG_NXT_PAY_DT_SET_DT </stp>
        <stp>[GNMA Mtge Bonds &amp; Swap CF_generator_Mar2016.DUB.xlsm]Analysis - ignore!R148C11</stp>
        <tr r="K148" s="1124"/>
      </tp>
      <tp t="s">
        <v>7/25/2016</v>
        <stp/>
        <stp>##V3_BDPV12</stp>
        <stp>US92978JAE38 mtge</stp>
        <stp xml:space="preserve">MTG_NXT_PAY_DT_SET_DT </stp>
        <stp>[GNMA Mtge Bonds &amp; Swap CF_generator_Mar2016.DUB.xlsm]Analysis - ignore!R191C11</stp>
        <tr r="K191" s="1124"/>
      </tp>
      <tp t="s">
        <v>#N/A N/A</v>
        <stp/>
        <stp>##V3_BDPV12</stp>
        <stp>US78442GKT21 mtge</stp>
        <stp>MTG WAL</stp>
        <stp>[GNMA Mtge Bonds &amp; Swap CF_generator_Mar2016.DUB.xlsm]Analysis - ignore!R124C10</stp>
        <stp xml:space="preserve">ALLOW_DYNAMIC_CASHFLOW_CALCS </stp>
        <stp>Y</stp>
        <stp>MTG PREPAY SPEED</stp>
        <stp>25</stp>
        <stp>MTG PREPAY TYP</stp>
        <stp>PPC</stp>
        <tr r="J124" s="1124"/>
      </tp>
      <tp t="s">
        <v>7/28/2016</v>
        <stp/>
        <stp>##V3_BDPV12</stp>
        <stp>US86800NAC48 mtge</stp>
        <stp xml:space="preserve">MTG_NXT_PAY_DT_SET_DT </stp>
        <stp>[GNMA Mtge Bonds &amp; Swap CF_generator_Mar2016.DUB.xlsm]Analysis - ignore!R187C11</stp>
        <tr r="K187" s="1124"/>
      </tp>
      <tp t="s">
        <v>#N/A N/A</v>
        <stp/>
        <stp>##V3_BDPV12</stp>
        <stp>US784423AG00 mtge</stp>
        <stp>MTG WAL</stp>
        <stp>[GNMA Mtge Bonds &amp; Swap CF_generator_Mar2016.DUB.xlsm]Analysis - ignore!R117C10</stp>
        <stp xml:space="preserve">ALLOW_DYNAMIC_CASHFLOW_CALCS </stp>
        <stp>Y</stp>
        <stp>MTG PREPAY SPEED</stp>
        <stp>0</stp>
        <stp>MTG PREPAY TYP</stp>
        <stp>CPR</stp>
        <tr r="J117" s="1124"/>
      </tp>
      <tp t="s">
        <v>#N/A N/A</v>
        <stp/>
        <stp>##V3_BDPV12</stp>
        <stp>US784423AF27 mtge</stp>
        <stp>MTG WAL</stp>
        <stp>[GNMA Mtge Bonds &amp; Swap CF_generator_Mar2016.DUB.xlsm]Analysis - ignore!R116C10</stp>
        <stp xml:space="preserve">ALLOW_DYNAMIC_CASHFLOW_CALCS </stp>
        <stp>Y</stp>
        <stp>MTG PREPAY SPEED</stp>
        <stp>0</stp>
        <stp>MTG PREPAY TYP</stp>
        <stp>CPR</stp>
        <tr r="J116" s="1124"/>
      </tp>
      <tp t="s">
        <v>#N/A N/A</v>
        <stp/>
        <stp>##V3_BDPV12</stp>
        <stp>US784423AE51 mtge</stp>
        <stp>MTG WAL</stp>
        <stp>[GNMA Mtge Bonds &amp; Swap CF_generator_Mar2016.DUB.xlsm]Analysis - ignore!R115C10</stp>
        <stp xml:space="preserve">ALLOW_DYNAMIC_CASHFLOW_CALCS </stp>
        <stp>Y</stp>
        <stp>MTG PREPAY SPEED</stp>
        <stp>0</stp>
        <stp>MTG PREPAY TYP</stp>
        <stp>CPR</stp>
        <tr r="J115" s="1124"/>
      </tp>
      <tp t="s">
        <v>8/15/2016</v>
        <stp/>
        <stp>##V3_BDPV12</stp>
        <stp>US784423AG00 mtge</stp>
        <stp xml:space="preserve">MTG_NXT_PAY_DT_SET_DT </stp>
        <stp>[GNMA Mtge Bonds &amp; Swap CF_generator_Mar2016.DUB.xlsm]Analysis - ignore!R117C11</stp>
        <tr r="K117" s="1124"/>
      </tp>
      <tp t="s">
        <v>7/25/2016</v>
        <stp/>
        <stp>##V3_BDPV12</stp>
        <stp>US78443BAG14 mtge</stp>
        <stp xml:space="preserve">MTG_NXT_PAY_DT_SET_DT </stp>
        <stp>[GNMA Mtge Bonds &amp; Swap CF_generator_Mar2016.DUB.xlsm]Analysis - ignore!R145C11</stp>
        <tr r="K145" s="1124"/>
      </tp>
      <tp t="s">
        <v>9/1/2016</v>
        <stp/>
        <stp>##V3_BDPV12</stp>
        <stp>US83714RBB87 mtge</stp>
        <stp xml:space="preserve">MTG_NXT_PAY_DT_SET_DT </stp>
        <stp>[GNMA Mtge Bonds &amp; Swap CF_generator_Mar2016.DUB.xlsm]Analysis - ignore!R185C11</stp>
        <tr r="K185" s="1124"/>
      </tp>
      <tp t="s">
        <v>7/28/2016</v>
        <stp/>
        <stp>##V3_BDPV12</stp>
        <stp>US48122HAA23 mtge</stp>
        <stp xml:space="preserve">MTG_NXT_PAY_DT_SET_DT </stp>
        <stp>[GNMA Mtge Bonds &amp; Swap CF_generator_Mar2016.DUB.xlsm]Analysis - ignore!R205C11</stp>
        <tr r="K205" s="1124"/>
      </tp>
      <tp t="s">
        <v>7/25/2016</v>
        <stp/>
        <stp>##V3_BDPV12</stp>
        <stp>US78442GQG46 mtge</stp>
        <stp xml:space="preserve">MTG_NXT_PAY_DT_SET_DT </stp>
        <stp>[GNMA Mtge Bonds &amp; Swap CF_generator_Mar2016.DUB.xlsm]Analysis - ignore!R133C11</stp>
        <tr r="K133" s="1124"/>
      </tp>
      <tp t="s">
        <v>7/25/2016</v>
        <stp/>
        <stp>##V3_BDPV12</stp>
        <stp>US78442GPG54 mtge</stp>
        <stp xml:space="preserve">MTG_NXT_PAY_DT_SET_DT </stp>
        <stp>[GNMA Mtge Bonds &amp; Swap CF_generator_Mar2016.DUB.xlsm]Analysis - ignore!R130C11</stp>
        <tr r="K130" s="1124"/>
      </tp>
      <tp t="s">
        <v>7/25/2016</v>
        <stp/>
        <stp>##V3_BDPV12</stp>
        <stp>US78443VAG77 mtge</stp>
        <stp xml:space="preserve">MTG_NXT_PAY_DT_SET_DT </stp>
        <stp>[GNMA Mtge Bonds &amp; Swap CF_generator_Mar2016.DUB.xlsm]Analysis - ignore!R159C11</stp>
        <tr r="K159" s="1124"/>
      </tp>
      <tp t="s">
        <v>7/28/2016</v>
        <stp/>
        <stp>##V3_BDPV12</stp>
        <stp>US66704JBC18 mtge</stp>
        <stp xml:space="preserve">MTG_NXT_PAY_DT_SET_DT </stp>
        <stp>[GNMA Mtge Bonds &amp; Swap CF_generator_Mar2016.DUB.xlsm]Analysis - ignore!R100C11</stp>
        <tr r="K100" s="1124"/>
      </tp>
      <tp t="s">
        <v>#N/A N/A</v>
        <stp/>
        <stp>##V3_BDPV12</stp>
        <stp>US78442GRX69 mtge</stp>
        <stp>MTG WAL</stp>
        <stp>[GNMA Mtge Bonds &amp; Swap CF_generator_Mar2016.DUB.xlsm]Analysis - ignore!R139C10</stp>
        <stp xml:space="preserve">ALLOW_DYNAMIC_CASHFLOW_CALCS </stp>
        <stp>Y</stp>
        <stp>MTG PREPAY SPEED</stp>
        <stp>25</stp>
        <stp>MTG PREPAY TYP</stp>
        <stp>PPC</stp>
        <tr r="J139" s="1124"/>
      </tp>
      <tp t="s">
        <v>#N/A N/A</v>
        <stp/>
        <stp>##V3_BDPV12</stp>
        <stp>US784420AQ43 mtge</stp>
        <stp>MTG WAL</stp>
        <stp>[GNMA Mtge Bonds &amp; Swap CF_generator_Mar2016.DUB.xlsm]Analysis - ignore!R111C10</stp>
        <stp xml:space="preserve">ALLOW_DYNAMIC_CASHFLOW_CALCS </stp>
        <stp>Y</stp>
        <stp>MTG PREPAY SPEED</stp>
        <stp>0</stp>
        <stp>MTG PREPAY TYP</stp>
        <stp>CPR</stp>
        <tr r="J111" s="1124"/>
      </tp>
      <tp t="s">
        <v>#N/A N/A</v>
        <stp/>
        <stp>##V3_BDPV12</stp>
        <stp>US784420AP69 mtge</stp>
        <stp>MTG WAL</stp>
        <stp>[GNMA Mtge Bonds &amp; Swap CF_generator_Mar2016.DUB.xlsm]Analysis - ignore!R110C10</stp>
        <stp xml:space="preserve">ALLOW_DYNAMIC_CASHFLOW_CALCS </stp>
        <stp>Y</stp>
        <stp>MTG PREPAY SPEED</stp>
        <stp>0</stp>
        <stp>MTG PREPAY TYP</stp>
        <stp>CPR</stp>
        <tr r="J110" s="1124"/>
      </tp>
      <tp t="s">
        <v>7/28/2016</v>
        <stp/>
        <stp>##V3_BDPV12</stp>
        <stp>USU86787AD71 mtge</stp>
        <stp xml:space="preserve">MTG_NXT_PAY_DT_SET_DT </stp>
        <stp>[GNMA Mtge Bonds &amp; Swap CF_generator_Mar2016.DUB.xlsm]Analysis - ignore!R208C11</stp>
        <tr r="K208" s="1124"/>
      </tp>
      <tp>
        <v>0.10070182000000001</v>
        <stp/>
        <stp>##V3_BLP</stp>
        <stp>US38373MK746 Mtge</stp>
        <stp>mtg_factor</stp>
        <stp>[GNMA Mtge Bonds &amp; Swap CF_generator_Mar2016.DUB.xlsm]ISINS_&amp;_SWAPS!R12C15</stp>
        <tr r="O12" s="20"/>
      </tp>
      <tp>
        <v>0.10070182000000001</v>
        <stp/>
        <stp>##V3_BLP</stp>
        <stp>US38373MK746 Mtge</stp>
        <stp>mtg_factor</stp>
        <stp>[GNMA Mtge Bonds &amp; Swap CF_generator_Mar2016.DUB.xlsm]ISINS_&amp;_SWAPS!R25C15</stp>
        <tr r="O25" s="20"/>
      </tp>
      <tp>
        <v>0.10070182000000001</v>
        <stp/>
        <stp>##V3_BLP</stp>
        <stp>US38373MK746 Mtge</stp>
        <stp>mtg_factor</stp>
        <stp>[GNMA Mtge Bonds &amp; Swap CF_generator_Mar2016.DUB.xlsm]ISINS_&amp;_SWAPS!R24C15</stp>
        <tr r="O24" s="20"/>
      </tp>
      <tp t="s">
        <v>#N/A N/A</v>
        <stp/>
        <stp>##V3_BDPV12</stp>
        <stp>US78443YAD85 mtge</stp>
        <stp>MTG WAL</stp>
        <stp>[GNMA Mtge Bonds &amp; Swap CF_generator_Mar2016.DUB.xlsm]Analysis - ignore!R161C10</stp>
        <stp xml:space="preserve">ALLOW_DYNAMIC_CASHFLOW_CALCS </stp>
        <stp>Y</stp>
        <stp>MTG PREPAY SPEED</stp>
        <stp>4</stp>
        <stp>MTG PREPAY TYP</stp>
        <stp>CPR</stp>
        <tr r="J161" s="1124"/>
      </tp>
      <tp t="s">
        <v>#N/A N/A</v>
        <stp/>
        <stp>##V3_BDPV12</stp>
        <stp>US78443XAD03 mtge</stp>
        <stp>MTG WAL</stp>
        <stp>[GNMA Mtge Bonds &amp; Swap CF_generator_Mar2016.DUB.xlsm]Analysis - ignore!R160C10</stp>
        <stp xml:space="preserve">ALLOW_DYNAMIC_CASHFLOW_CALCS </stp>
        <stp>Y</stp>
        <stp>MTG PREPAY SPEED</stp>
        <stp>4</stp>
        <stp>MTG PREPAY TYP</stp>
        <stp>CPR</stp>
        <tr r="J160" s="1124"/>
      </tp>
      <tp t="s">
        <v>#N/A N/A</v>
        <stp/>
        <stp>##V3_BDPV12</stp>
        <stp>US78444GAB05 mtge</stp>
        <stp>MTG WAL</stp>
        <stp>[GNMA Mtge Bonds &amp; Swap CF_generator_Mar2016.DUB.xlsm]Analysis - ignore!R166C10</stp>
        <stp xml:space="preserve">ALLOW_DYNAMIC_CASHFLOW_CALCS </stp>
        <stp>Y</stp>
        <stp>MTG PREPAY SPEED</stp>
        <stp>4</stp>
        <stp>MTG PREPAY TYP</stp>
        <stp>CPR</stp>
        <tr r="J166" s="1124"/>
      </tp>
      <tp t="s">
        <v>#N/A N/A</v>
        <stp/>
        <stp>##V3_BDPV12</stp>
        <stp>US78444NAA72 mtge</stp>
        <stp>MTG WAL</stp>
        <stp>[GNMA Mtge Bonds &amp; Swap CF_generator_Mar2016.DUB.xlsm]Analysis - ignore!R167C10</stp>
        <stp xml:space="preserve">ALLOW_DYNAMIC_CASHFLOW_CALCS </stp>
        <stp>Y</stp>
        <stp>MTG PREPAY SPEED</stp>
        <stp>6</stp>
        <stp>MTG PREPAY TYP</stp>
        <stp>CPR</stp>
        <tr r="J167" s="1124"/>
      </tp>
      <tp t="s">
        <v>#N/A N/A</v>
        <stp/>
        <stp>##V3_BDPV12</stp>
        <stp>US78444EAB56 mtge</stp>
        <stp>MTG WAL</stp>
        <stp>[GNMA Mtge Bonds &amp; Swap CF_generator_Mar2016.DUB.xlsm]Analysis - ignore!R164C10</stp>
        <stp xml:space="preserve">ALLOW_DYNAMIC_CASHFLOW_CALCS </stp>
        <stp>Y</stp>
        <stp>MTG PREPAY SPEED</stp>
        <stp>4</stp>
        <stp>MTG PREPAY TYP</stp>
        <stp>CPR</stp>
        <tr r="J164" s="1124"/>
      </tp>
      <tp t="s">
        <v>#N/A N/A</v>
        <stp/>
        <stp>##V3_BDPV12</stp>
        <stp>US64031QCG47 mtge</stp>
        <stp>MTG WAL</stp>
        <stp>[GNMA Mtge Bonds &amp; Swap CF_generator_Mar2016.DUB.xlsm]Analysis - ignore!R206C10</stp>
        <stp xml:space="preserve">ALLOW_DYNAMIC_CASHFLOW_CALCS </stp>
        <stp>Y</stp>
        <stp>MTG PREPAY SPEED</stp>
        <stp>2</stp>
        <stp>MTG PREPAY TYP</stp>
        <stp>CPR</stp>
        <tr r="J206" s="1124"/>
      </tp>
      <tp t="s">
        <v>#N/A N/A</v>
        <stp/>
        <stp>##V3_BDPV12</stp>
        <stp>US78444EAD13 mtge</stp>
        <stp>MTG WAL</stp>
        <stp>[GNMA Mtge Bonds &amp; Swap CF_generator_Mar2016.DUB.xlsm]Analysis - ignore!R165C10</stp>
        <stp xml:space="preserve">ALLOW_DYNAMIC_CASHFLOW_CALCS </stp>
        <stp>Y</stp>
        <stp>MTG PREPAY SPEED</stp>
        <stp>4</stp>
        <stp>MTG PREPAY TYP</stp>
        <stp>CPR</stp>
        <tr r="J165" s="1124"/>
      </tp>
      <tp t="s">
        <v>7/28/2016</v>
        <stp/>
        <stp>##V3_BDPV12</stp>
        <stp>US86800NAD21 mtge</stp>
        <stp xml:space="preserve">MTG_NXT_PAY_DT_SET_DT </stp>
        <stp>[GNMA Mtge Bonds &amp; Swap CF_generator_Mar2016.DUB.xlsm]Analysis - ignore!R188C11</stp>
        <tr r="K188" s="1124"/>
      </tp>
      <tp t="s">
        <v>7/25/2016</v>
        <stp/>
        <stp>##V3_BDPV12</stp>
        <stp>US708788AC85 mtge</stp>
        <stp xml:space="preserve">MTG_NXT_PAY_DT_SET_DT </stp>
        <stp>[GNMA Mtge Bonds &amp; Swap CF_generator_Mar2016.DUB.xlsm]Analysis - ignore!R105C11</stp>
        <tr r="K105" s="1124"/>
      </tp>
      <tp t="s">
        <v>6/22/2016</v>
        <stp/>
        <stp>##V3_BDPV12</stp>
        <stp>US64031QCG47 mtge</stp>
        <stp xml:space="preserve">MTG_NXT_PAY_DT_SET_DT </stp>
        <stp>[GNMA Mtge Bonds &amp; Swap CF_generator_Mar2016.DUB.xlsm]Analysis - ignore!R206C11</stp>
        <tr r="K206" s="1124"/>
      </tp>
      <tp t="s">
        <v>#N/A N/A</v>
        <stp/>
        <stp>##V3_BDPV12</stp>
        <stp>US78444NAB55 mtge</stp>
        <stp>MTG WAL</stp>
        <stp>[GNMA Mtge Bonds &amp; Swap CF_generator_Mar2016.DUB.xlsm]Analysis - ignore!R168C10</stp>
        <stp xml:space="preserve">ALLOW_DYNAMIC_CASHFLOW_CALCS </stp>
        <stp>Y</stp>
        <stp>MTG PREPAY SPEED</stp>
        <stp>0</stp>
        <stp>MTG PREPAY TYP</stp>
        <stp>CPR</stp>
        <tr r="J168" s="1124"/>
      </tp>
      <tp t="s">
        <v>#N/A N/A</v>
        <stp/>
        <stp>##V3_BDPV12</stp>
        <stp>US78444NAC39 mtge</stp>
        <stp>MTG WAL</stp>
        <stp>[GNMA Mtge Bonds &amp; Swap CF_generator_Mar2016.DUB.xlsm]Analysis - ignore!R169C10</stp>
        <stp xml:space="preserve">ALLOW_DYNAMIC_CASHFLOW_CALCS </stp>
        <stp>Y</stp>
        <stp>MTG PREPAY SPEED</stp>
        <stp>0</stp>
        <stp>MTG PREPAY TYP</stp>
        <stp>CPR</stp>
        <tr r="J169" s="1124"/>
      </tp>
      <tp t="s">
        <v>7/16/2016</v>
        <stp/>
        <stp>##V3_BLP</stp>
        <stp>US38373MSC54 Mtge</stp>
        <stp>nxt_cpn_dt</stp>
        <stp>[GNMA Mtge Bonds &amp; Swap CF_generator_Mar2016.DUB.xlsm]ISINS_&amp;_SWAPS!R10C19</stp>
        <tr r="S10" s="20"/>
      </tp>
      <tp t="s">
        <v>7/16/2016</v>
        <stp/>
        <stp>##V3_BLP</stp>
        <stp>US38373MSC54 Mtge</stp>
        <stp>nxt_cpn_dt</stp>
        <stp>[GNMA Mtge Bonds &amp; Swap CF_generator_Mar2016.DUB.xlsm]ISINS_&amp;_SWAPS!R20C19</stp>
        <tr r="S20" s="20"/>
      </tp>
      <tp t="s">
        <v>7/16/2016</v>
        <stp/>
        <stp>##V3_BLP</stp>
        <stp>US38373MSC54 Mtge</stp>
        <stp>nxt_cpn_dt</stp>
        <stp>[GNMA Mtge Bonds &amp; Swap CF_generator_Mar2016.DUB.xlsm]ISINS_&amp;_SWAPS!R21C19</stp>
        <tr r="S21" s="20"/>
      </tp>
      <tp t="s">
        <v>#N/A N/A</v>
        <stp/>
        <stp>##V3_BDPV12</stp>
        <stp>US78444XAD93 mtge</stp>
        <stp>MTG WAL</stp>
        <stp>[GNMA Mtge Bonds &amp; Swap CF_generator_Mar2016.DUB.xlsm]Analysis - ignore!R171C10</stp>
        <stp xml:space="preserve">ALLOW_DYNAMIC_CASHFLOW_CALCS </stp>
        <stp>Y</stp>
        <stp>MTG PREPAY SPEED</stp>
        <stp>2</stp>
        <stp>MTG PREPAY TYP</stp>
        <stp>CPR</stp>
        <tr r="J171" s="1124"/>
      </tp>
      <tp t="s">
        <v>#N/A N/A</v>
        <stp/>
        <stp>##V3_BDPV12</stp>
        <stp>US78445FAC95 mtge</stp>
        <stp>MTG WAL</stp>
        <stp>[GNMA Mtge Bonds &amp; Swap CF_generator_Mar2016.DUB.xlsm]Analysis - ignore!R177C10</stp>
        <stp xml:space="preserve">ALLOW_DYNAMIC_CASHFLOW_CALCS </stp>
        <stp>Y</stp>
        <stp>MTG PREPAY SPEED</stp>
        <stp>4</stp>
        <stp>MTG PREPAY TYP</stp>
        <stp>CPR</stp>
        <tr r="J177" s="1124"/>
      </tp>
      <tp t="s">
        <v>#N/A N/A</v>
        <stp/>
        <stp>##V3_BDPV12</stp>
        <stp>US78445FAA30 mtge</stp>
        <stp>MTG WAL</stp>
        <stp>[GNMA Mtge Bonds &amp; Swap CF_generator_Mar2016.DUB.xlsm]Analysis - ignore!R175C10</stp>
        <stp xml:space="preserve">ALLOW_DYNAMIC_CASHFLOW_CALCS </stp>
        <stp>Y</stp>
        <stp>MTG PREPAY SPEED</stp>
        <stp>4</stp>
        <stp>MTG PREPAY TYP</stp>
        <stp>CPR</stp>
        <tr r="J175" s="1124"/>
      </tp>
      <tp t="s">
        <v>#N/A N/A</v>
        <stp/>
        <stp>##V3_BDPV12</stp>
        <stp>US78444NAD12 mtge</stp>
        <stp>MTG WAL</stp>
        <stp>[GNMA Mtge Bonds &amp; Swap CF_generator_Mar2016.DUB.xlsm]Analysis - ignore!R170C10</stp>
        <stp xml:space="preserve">ALLOW_DYNAMIC_CASHFLOW_CALCS </stp>
        <stp>Y</stp>
        <stp>MTG PREPAY SPEED</stp>
        <stp>0</stp>
        <stp>MTG PREPAY TYP</stp>
        <stp>CPR</stp>
        <tr r="J170" s="1124"/>
      </tp>
      <tp t="s">
        <v>#N/A N/A</v>
        <stp/>
        <stp>##V3_BDPV12</stp>
        <stp>US78445FAB13 mtge</stp>
        <stp>MTG WAL</stp>
        <stp>[GNMA Mtge Bonds &amp; Swap CF_generator_Mar2016.DUB.xlsm]Analysis - ignore!R176C10</stp>
        <stp xml:space="preserve">ALLOW_DYNAMIC_CASHFLOW_CALCS </stp>
        <stp>Y</stp>
        <stp>MTG PREPAY SPEED</stp>
        <stp>4</stp>
        <stp>MTG PREPAY TYP</stp>
        <stp>CPR</stp>
        <tr r="J176" s="1124"/>
      </tp>
      <tp t="s">
        <v>7/25/2016</v>
        <stp/>
        <stp>##V3_BDPV12</stp>
        <stp>US708788AB03 mtge</stp>
        <stp xml:space="preserve">MTG_NXT_PAY_DT_SET_DT </stp>
        <stp>[GNMA Mtge Bonds &amp; Swap CF_generator_Mar2016.DUB.xlsm]Analysis - ignore!R104C11</stp>
        <tr r="K104" s="1124"/>
      </tp>
      <tp t="s">
        <v>#N/A N/A</v>
        <stp/>
        <stp>##V3_BDPV12</stp>
        <stp>US78444XAE76 mtge</stp>
        <stp>MTG WAL</stp>
        <stp>[GNMA Mtge Bonds &amp; Swap CF_generator_Mar2016.DUB.xlsm]Analysis - ignore!R172C10</stp>
        <stp xml:space="preserve">ALLOW_DYNAMIC_CASHFLOW_CALCS </stp>
        <stp>Y</stp>
        <stp>MTG PREPAY SPEED</stp>
        <stp>2</stp>
        <stp>MTG PREPAY TYP</stp>
        <stp>CPR</stp>
        <tr r="J172" s="1124"/>
      </tp>
      <tp t="s">
        <v>#N/A N/A</v>
        <stp/>
        <stp>##V3_BDPV12</stp>
        <stp>US78445CAC64 mtge</stp>
        <stp>MTG WAL</stp>
        <stp>[GNMA Mtge Bonds &amp; Swap CF_generator_Mar2016.DUB.xlsm]Analysis - ignore!R173C10</stp>
        <stp xml:space="preserve">ALLOW_DYNAMIC_CASHFLOW_CALCS </stp>
        <stp>Y</stp>
        <stp>MTG PREPAY SPEED</stp>
        <stp>4</stp>
        <stp>MTG PREPAY TYP</stp>
        <stp>CPR</stp>
        <tr r="J173" s="1124"/>
      </tp>
      <tp t="s">
        <v>#N/A N/A</v>
        <stp/>
        <stp>##V3_BDPV12</stp>
        <stp>US78445CAD48 mtge</stp>
        <stp>MTG WAL</stp>
        <stp>[GNMA Mtge Bonds &amp; Swap CF_generator_Mar2016.DUB.xlsm]Analysis - ignore!R174C10</stp>
        <stp xml:space="preserve">ALLOW_DYNAMIC_CASHFLOW_CALCS </stp>
        <stp>Y</stp>
        <stp>MTG PREPAY SPEED</stp>
        <stp>4</stp>
        <stp>MTG PREPAY TYP</stp>
        <stp>CPR</stp>
        <tr r="J174" s="1124"/>
      </tp>
      <tp t="s">
        <v>#N/A N/A</v>
        <stp/>
        <stp>##V3_BDPV12</stp>
        <stp>US78445FAD78 mtge</stp>
        <stp>MTG WAL</stp>
        <stp>[GNMA Mtge Bonds &amp; Swap CF_generator_Mar2016.DUB.xlsm]Analysis - ignore!R178C10</stp>
        <stp xml:space="preserve">ALLOW_DYNAMIC_CASHFLOW_CALCS </stp>
        <stp>Y</stp>
        <stp>MTG PREPAY SPEED</stp>
        <stp>4</stp>
        <stp>MTG PREPAY TYP</stp>
        <stp>CPR</stp>
        <tr r="J178" s="1124"/>
      </tp>
      <tp t="s">
        <v>6/15/2016</v>
        <stp/>
        <stp>##V3_BDPV12</stp>
        <stp>US78444NAA72 mtge</stp>
        <stp xml:space="preserve">MTG_NXT_PAY_DT_SET_DT </stp>
        <stp>[GNMA Mtge Bonds &amp; Swap CF_generator_Mar2016.DUB.xlsm]Analysis - ignore!R167C11</stp>
        <tr r="K167" s="1124"/>
      </tp>
      <tp t="s">
        <v>7/25/2016</v>
        <stp/>
        <stp>##V3_BDPV12</stp>
        <stp>US78445FAA30 mtge</stp>
        <stp xml:space="preserve">MTG_NXT_PAY_DT_SET_DT </stp>
        <stp>[GNMA Mtge Bonds &amp; Swap CF_generator_Mar2016.DUB.xlsm]Analysis - ignore!R175C11</stp>
        <tr r="K175" s="1124"/>
      </tp>
      <tp t="s">
        <v>#N/A N/A</v>
        <stp/>
        <stp>##V3_BDPV12</stp>
        <stp>US194267AQ33 mtge</stp>
        <stp>MTG WAL</stp>
        <stp>[GNMA Mtge Bonds &amp; Swap CF_generator_Mar2016.DUB.xlsm]Analysis - ignore!R200C10</stp>
        <stp xml:space="preserve">ALLOW_DYNAMIC_CASHFLOW_CALCS </stp>
        <stp>Y</stp>
        <stp>MTG PREPAY SPEED</stp>
        <stp>50</stp>
        <stp>MTG PREPAY TYP</stp>
        <stp>PPC</stp>
        <tr r="J200" s="1124"/>
      </tp>
      <tp t="s">
        <v>#N/A N/A</v>
        <stp/>
        <stp>##V3_BDPV12</stp>
        <stp>USU86787AD71 mtge</stp>
        <stp>MTG WAL</stp>
        <stp>[GNMA Mtge Bonds &amp; Swap CF_generator_Mar2016.DUB.xlsm]Analysis - ignore!R208C10</stp>
        <stp>MTG PREPAY SPEED</stp>
        <stp>2</stp>
        <stp>MTG PREPAY TYP</stp>
        <stp>CPR</stp>
        <tr r="J208" s="1124"/>
      </tp>
      <tp t="s">
        <v>#N/A N/A</v>
        <stp/>
        <stp>##V3_BDPV12</stp>
        <stp>US92978JAF03 mtge</stp>
        <stp>MTG WAL</stp>
        <stp>[GNMA Mtge Bonds &amp; Swap CF_generator_Mar2016.DUB.xlsm]Analysis - ignore!R192C10</stp>
        <stp xml:space="preserve">ALLOW_DYNAMIC_CASHFLOW_CALCS </stp>
        <stp>Y</stp>
        <stp>MTG PREPAY SPEED</stp>
        <stp>2</stp>
        <stp>MTG PREPAY TYP</stp>
        <stp>CPR</stp>
        <tr r="J192" s="1124"/>
      </tp>
      <tp t="s">
        <v>#N/A N/A</v>
        <stp/>
        <stp>##V3_BDPV12</stp>
        <stp>US92978JAE38 mtge</stp>
        <stp>MTG WAL</stp>
        <stp>[GNMA Mtge Bonds &amp; Swap CF_generator_Mar2016.DUB.xlsm]Analysis - ignore!R191C10</stp>
        <stp xml:space="preserve">ALLOW_DYNAMIC_CASHFLOW_CALCS </stp>
        <stp>Y</stp>
        <stp>MTG PREPAY SPEED</stp>
        <stp>2</stp>
        <stp>MTG PREPAY TYP</stp>
        <stp>CPR</stp>
        <tr r="J191" s="1124"/>
      </tp>
      <tp t="s">
        <v>#N/A N/A</v>
        <stp/>
        <stp>##V3_BDPV12</stp>
        <stp>US86800NAC48 mtge</stp>
        <stp>MTG WAL</stp>
        <stp>[GNMA Mtge Bonds &amp; Swap CF_generator_Mar2016.DUB.xlsm]Analysis - ignore!R187C10</stp>
        <stp xml:space="preserve">ALLOW_DYNAMIC_CASHFLOW_CALCS </stp>
        <stp>Y</stp>
        <stp>MTG PREPAY SPEED</stp>
        <stp>2</stp>
        <stp>MTG PREPAY TYP</stp>
        <stp>CPR</stp>
        <tr r="J187" s="1124"/>
      </tp>
      <tp t="s">
        <v>#N/A N/A</v>
        <stp/>
        <stp>##V3_BDPV12</stp>
        <stp>US86800NAB64 mtge</stp>
        <stp>MTG WAL</stp>
        <stp>[GNMA Mtge Bonds &amp; Swap CF_generator_Mar2016.DUB.xlsm]Analysis - ignore!R186C10</stp>
        <stp xml:space="preserve">ALLOW_DYNAMIC_CASHFLOW_CALCS </stp>
        <stp>Y</stp>
        <stp>MTG PREPAY SPEED</stp>
        <stp>2</stp>
        <stp>MTG PREPAY TYP</stp>
        <stp>CPR</stp>
        <tr r="J186" s="1124"/>
      </tp>
      <tp t="s">
        <v>9/1/2016</v>
        <stp/>
        <stp>##V3_BDPV12</stp>
        <stp>US90342NAB38 mtge</stp>
        <stp xml:space="preserve">MTG_NXT_PAY_DT_SET_DT </stp>
        <stp>[GNMA Mtge Bonds &amp; Swap CF_generator_Mar2016.DUB.xlsm]Analysis - ignore!R189C11</stp>
        <tr r="K189" s="1124"/>
      </tp>
      <tp t="s">
        <v>8/15/2016</v>
        <stp/>
        <stp>##V3_BDPV12</stp>
        <stp>US784422AB30 mtge</stp>
        <stp xml:space="preserve">MTG_NXT_PAY_DT_SET_DT </stp>
        <stp>[GNMA Mtge Bonds &amp; Swap CF_generator_Mar2016.DUB.xlsm]Analysis - ignore!R112C11</stp>
        <tr r="K112" s="1124"/>
      </tp>
      <tp t="s">
        <v>7/25/2016</v>
        <stp/>
        <stp>##V3_BDPV12</stp>
        <stp>US78444EAB56 mtge</stp>
        <stp xml:space="preserve">MTG_NXT_PAY_DT_SET_DT </stp>
        <stp>[GNMA Mtge Bonds &amp; Swap CF_generator_Mar2016.DUB.xlsm]Analysis - ignore!R164C11</stp>
        <tr r="K164" s="1124"/>
      </tp>
      <tp t="s">
        <v>6/15/2016</v>
        <stp/>
        <stp>##V3_BDPV12</stp>
        <stp>US78444NAB55 mtge</stp>
        <stp xml:space="preserve">MTG_NXT_PAY_DT_SET_DT </stp>
        <stp>[GNMA Mtge Bonds &amp; Swap CF_generator_Mar2016.DUB.xlsm]Analysis - ignore!R168C11</stp>
        <tr r="K168" s="1124"/>
      </tp>
      <tp t="s">
        <v>7/25/2016</v>
        <stp/>
        <stp>##V3_BDPV12</stp>
        <stp>US78442GRB40 mtge</stp>
        <stp xml:space="preserve">MTG_NXT_PAY_DT_SET_DT </stp>
        <stp>[GNMA Mtge Bonds &amp; Swap CF_generator_Mar2016.DUB.xlsm]Analysis - ignore!R136C11</stp>
        <tr r="K136" s="1124"/>
      </tp>
      <tp t="s">
        <v>#N/A N/A</v>
        <stp/>
        <stp>##V3_BDPV12</stp>
        <stp>US86800NAD21 mtge</stp>
        <stp>MTG WAL</stp>
        <stp>[GNMA Mtge Bonds &amp; Swap CF_generator_Mar2016.DUB.xlsm]Analysis - ignore!R188C10</stp>
        <stp xml:space="preserve">ALLOW_DYNAMIC_CASHFLOW_CALCS </stp>
        <stp>Y</stp>
        <stp>MTG PREPAY SPEED</stp>
        <stp>2</stp>
        <stp>MTG PREPAY TYP</stp>
        <stp>CPR</stp>
        <tr r="J188" s="1124"/>
      </tp>
      <tp t="s">
        <v>7/25/2016</v>
        <stp/>
        <stp>##V3_BDPV12</stp>
        <stp>US78445FAB13 mtge</stp>
        <stp xml:space="preserve">MTG_NXT_PAY_DT_SET_DT </stp>
        <stp>[GNMA Mtge Bonds &amp; Swap CF_generator_Mar2016.DUB.xlsm]Analysis - ignore!R176C11</stp>
        <tr r="K176" s="1124"/>
      </tp>
      <tp t="s">
        <v>7/25/2016</v>
        <stp/>
        <stp>##V3_BDPV12</stp>
        <stp>US78444GAB05 mtge</stp>
        <stp xml:space="preserve">MTG_NXT_PAY_DT_SET_DT </stp>
        <stp>[GNMA Mtge Bonds &amp; Swap CF_generator_Mar2016.DUB.xlsm]Analysis - ignore!R166C11</stp>
        <tr r="K166" s="1124"/>
      </tp>
      <tp t="s">
        <v>7/25/2016</v>
        <stp/>
        <stp>##V3_BDPV12</stp>
        <stp>US83149FAC86 mtge</stp>
        <stp xml:space="preserve">MTG_NXT_PAY_DT_SET_DT </stp>
        <stp>[GNMA Mtge Bonds &amp; Swap CF_generator_Mar2016.DUB.xlsm]Analysis - ignore!R181C11</stp>
        <tr r="K181" s="1124"/>
      </tp>
      <tp t="s">
        <v>7/25/2016</v>
        <stp/>
        <stp>##V3_BDPV12</stp>
        <stp>US78445FAC95 mtge</stp>
        <stp xml:space="preserve">MTG_NXT_PAY_DT_SET_DT </stp>
        <stp>[GNMA Mtge Bonds &amp; Swap CF_generator_Mar2016.DUB.xlsm]Analysis - ignore!R177C11</stp>
        <tr r="K177" s="1124"/>
      </tp>
      <tp t="s">
        <v>#N/A N/A</v>
        <stp/>
        <stp>##V3_BDPV12</stp>
        <stp>US48122HAA23 mtge</stp>
        <stp>MTG WAL</stp>
        <stp>[GNMA Mtge Bonds &amp; Swap CF_generator_Mar2016.DUB.xlsm]Analysis - ignore!R205C10</stp>
        <stp xml:space="preserve">ALLOW_DYNAMIC_CASHFLOW_CALCS </stp>
        <stp>Y</stp>
        <stp>MTG PREPAY SPEED</stp>
        <stp>0</stp>
        <stp>MTG PREPAY TYP</stp>
        <stp>CPR</stp>
        <tr r="J205" s="1124"/>
      </tp>
      <tp t="s">
        <v>8/15/2016</v>
        <stp/>
        <stp>##V3_BDPV12</stp>
        <stp>US784422AC13 mtge</stp>
        <stp xml:space="preserve">MTG_NXT_PAY_DT_SET_DT </stp>
        <stp>[GNMA Mtge Bonds &amp; Swap CF_generator_Mar2016.DUB.xlsm]Analysis - ignore!R113C11</stp>
        <tr r="K113" s="1124"/>
      </tp>
      <tp t="s">
        <v>7/25/2016</v>
        <stp/>
        <stp>##V3_BDPV12</stp>
        <stp>US78445CAC64 mtge</stp>
        <stp xml:space="preserve">MTG_NXT_PAY_DT_SET_DT </stp>
        <stp>[GNMA Mtge Bonds &amp; Swap CF_generator_Mar2016.DUB.xlsm]Analysis - ignore!R173C11</stp>
        <tr r="K173" s="1124"/>
      </tp>
      <tp t="s">
        <v>6/15/2016</v>
        <stp/>
        <stp>##V3_BDPV12</stp>
        <stp>US78444NAC39 mtge</stp>
        <stp xml:space="preserve">MTG_NXT_PAY_DT_SET_DT </stp>
        <stp>[GNMA Mtge Bonds &amp; Swap CF_generator_Mar2016.DUB.xlsm]Analysis - ignore!R169C11</stp>
        <tr r="K169" s="1124"/>
      </tp>
      <tp t="s">
        <v>7/28/2016</v>
        <stp/>
        <stp>##V3_BDPV12</stp>
        <stp>US66704JBG22 mtge</stp>
        <stp xml:space="preserve">MTG_NXT_PAY_DT_SET_DT </stp>
        <stp>[GNMA Mtge Bonds &amp; Swap CF_generator_Mar2016.DUB.xlsm]Analysis - ignore!R101C11</stp>
        <tr r="K101" s="1124"/>
      </tp>
      <tp t="s">
        <v>7/25/2016</v>
        <stp/>
        <stp>##V3_BDPV12</stp>
        <stp>US78443HAC79 mtge</stp>
        <stp xml:space="preserve">MTG_NXT_PAY_DT_SET_DT </stp>
        <stp>[GNMA Mtge Bonds &amp; Swap CF_generator_Mar2016.DUB.xlsm]Analysis - ignore!R151C11</stp>
        <tr r="K151" s="1124"/>
      </tp>
      <tp t="s">
        <v>7/25/2016</v>
        <stp/>
        <stp>##V3_BDPV12</stp>
        <stp>US78442GNC68 mtge</stp>
        <stp xml:space="preserve">MTG_NXT_PAY_DT_SET_DT </stp>
        <stp>[GNMA Mtge Bonds &amp; Swap CF_generator_Mar2016.DUB.xlsm]Analysis - ignore!R126C11</stp>
        <tr r="K126" s="1124"/>
      </tp>
    </main>
    <main first="bloomberg.rtd">
      <tp>
        <v>0.97996772099999996</v>
        <stp/>
        <stp>##V3_BDPV12</stp>
        <stp>US708788AC85 mtge ISIN</stp>
        <stp>MTG FACTOR</stp>
        <stp>[GNMA Mtge Bonds &amp; Swap CF_generator_Mar2016.DUB.xlsm]Analysis - ignore!R105C17</stp>
        <tr r="Q105" s="1124"/>
      </tp>
      <tp>
        <v>1</v>
        <stp/>
        <stp>##V3_BDPV12</stp>
        <stp>US784423AF27 mtge ISIN</stp>
        <stp>MTG FACTOR</stp>
        <stp>[GNMA Mtge Bonds &amp; Swap CF_generator_Mar2016.DUB.xlsm]Analysis - ignore!R116C17</stp>
        <tr r="Q116" s="1124"/>
      </tp>
      <tp>
        <v>1</v>
        <stp/>
        <stp>##V3_BDPV12</stp>
        <stp>XS0235359048 mtge ISIN</stp>
        <stp>MTG FACTOR</stp>
        <stp>[GNMA Mtge Bonds &amp; Swap CF_generator_Mar2016.DUB.xlsm]Analysis - ignore!R195C17</stp>
        <tr r="Q195" s="1124"/>
      </tp>
      <tp>
        <v>0.8708863</v>
        <stp/>
        <stp>##V3_BDPV12</stp>
        <stp>US709163GH61 mtge ISIN</stp>
        <stp>MTG FACTOR</stp>
        <stp>[GNMA Mtge Bonds &amp; Swap CF_generator_Mar2016.DUB.xlsm]Analysis - ignore!R107C17</stp>
        <tr r="Q107" s="1124"/>
      </tp>
      <tp>
        <v>1</v>
        <stp/>
        <stp>##V3_BDPV12</stp>
        <stp>XS0255777103 mtge ISIN</stp>
        <stp>MTG FACTOR</stp>
        <stp>[GNMA Mtge Bonds &amp; Swap CF_generator_Mar2016.DUB.xlsm]Analysis - ignore!R197C17</stp>
        <tr r="Q197" s="1124"/>
      </tp>
      <tp t="s">
        <v>7/25/2022</v>
        <stp/>
        <stp>##V3_BDPV12</stp>
        <stp>US640315AC17 mtge ISIN</stp>
        <stp>Maturity</stp>
        <stp>[GNMA Mtge Bonds &amp; Swap CF_generator_Mar2016.DUB.xlsm]Analysis - ignore!R77C13</stp>
        <tr r="M77" s="1124"/>
      </tp>
      <tp t="s">
        <v>9/25/2037</v>
        <stp/>
        <stp>##V3_BDPV12</stp>
        <stp>US462592AC02 mtge ISIN</stp>
        <stp>Maturity</stp>
        <stp>[GNMA Mtge Bonds &amp; Swap CF_generator_Mar2016.DUB.xlsm]Analysis - ignore!R71C13</stp>
        <tr r="M71" s="1124"/>
      </tp>
      <tp t="s">
        <v>7/25/2026</v>
        <stp/>
        <stp>##V3_BDPV12</stp>
        <stp>US194268AB47 mtge ISIN</stp>
        <stp>Maturity</stp>
        <stp>[GNMA Mtge Bonds &amp; Swap CF_generator_Mar2016.DUB.xlsm]Analysis - ignore!R45C13</stp>
        <tr r="M45" s="1124"/>
      </tp>
      <tp t="s">
        <v>#N/A N/A</v>
        <stp/>
        <stp>##V3_BDPV12</stp>
        <stp>US658262DV99 mtge</stp>
        <stp>MTG WAL</stp>
        <stp>[GNMA Mtge Bonds &amp; Swap CF_generator_Mar2016.DUB.xlsm]Analysis - ignore!R96C10</stp>
        <stp xml:space="preserve">ALLOW_DYNAMIC_CASHFLOW_CALCS </stp>
        <stp>Y</stp>
        <stp>MTG PREPAY SPEED</stp>
        <stp>3</stp>
        <stp>MTG PREPAY TYP</stp>
        <stp>CPR</stp>
        <tr r="J96" s="1124"/>
      </tp>
      <tp>
        <v>1</v>
        <stp/>
        <stp>##V3_BDPV12</stp>
        <stp>US78442GKT21 mtge ISIN</stp>
        <stp>MTG FACTOR</stp>
        <stp>[GNMA Mtge Bonds &amp; Swap CF_generator_Mar2016.DUB.xlsm]Analysis - ignore!R124C17</stp>
        <tr r="Q124" s="1124"/>
      </tp>
      <tp>
        <v>1</v>
        <stp/>
        <stp>##V3_BDPV12</stp>
        <stp>US78443KAF30 mtge ISIN</stp>
        <stp>MTG FACTOR</stp>
        <stp>[GNMA Mtge Bonds &amp; Swap CF_generator_Mar2016.DUB.xlsm]Analysis - ignore!R156C17</stp>
        <tr r="Q156" s="1124"/>
      </tp>
      <tp>
        <v>1</v>
        <stp/>
        <stp>##V3_BDPV12</stp>
        <stp>US78443HAE36 mtge ISIN</stp>
        <stp>MTG FACTOR</stp>
        <stp>[GNMA Mtge Bonds &amp; Swap CF_generator_Mar2016.DUB.xlsm]Analysis - ignore!R153C17</stp>
        <tr r="Q153" s="1124"/>
      </tp>
      <tp t="s">
        <v>SCSLC 2005 A2</v>
        <stp/>
        <stp>##V3_BDPV12</stp>
        <stp>US83714RAY99 mtge ISIN</stp>
        <stp>SECURITY DES</stp>
        <stp>[GNMA Mtge Bonds &amp; Swap CF_generator_Mar2016.DUB.xlsm]Analysis - ignore!R183C2</stp>
        <tr r="B183" s="1124"/>
      </tp>
      <tp>
        <v>1</v>
        <stp/>
        <stp>##V3_BDPV12</stp>
        <stp>US784420AD30 mtge ISIN</stp>
        <stp>MTG FACTOR</stp>
        <stp>[GNMA Mtge Bonds &amp; Swap CF_generator_Mar2016.DUB.xlsm]Analysis - ignore!R108C17</stp>
        <tr r="Q108" s="1124"/>
      </tp>
      <tp>
        <v>0.51042215840000005</v>
        <stp/>
        <stp>##V3_BDPV12</stp>
        <stp>US784422AB30 mtge ISIN</stp>
        <stp>MTG FACTOR</stp>
        <stp>[GNMA Mtge Bonds &amp; Swap CF_generator_Mar2016.DUB.xlsm]Analysis - ignore!R112C17</stp>
        <tr r="Q112" s="1124"/>
      </tp>
      <tp>
        <v>1</v>
        <stp/>
        <stp>##V3_BDPV12</stp>
        <stp>US784427AF31 mtge ISIN</stp>
        <stp>MTG FACTOR</stp>
        <stp>[GNMA Mtge Bonds &amp; Swap CF_generator_Mar2016.DUB.xlsm]Analysis - ignore!R119C17</stp>
        <tr r="Q119" s="1124"/>
      </tp>
      <tp>
        <v>1</v>
        <stp/>
        <stp>##V3_BDPV12</stp>
        <stp>XS0355234641 mtge ISIN</stp>
        <stp>MTG FACTOR</stp>
        <stp>[GNMA Mtge Bonds &amp; Swap CF_generator_Mar2016.DUB.xlsm]Analysis - ignore!R198C17</stp>
        <tr r="Q198" s="1124"/>
      </tp>
      <tp>
        <v>0</v>
        <stp/>
        <stp>##V3_BDPV12</stp>
        <stp>US429827AV05 mtge ISIN</stp>
        <stp>MTG FACTOR</stp>
        <stp>[GNMA Mtge Bonds &amp; Swap CF_generator_Mar2016.DUB.xlsm]Analysis - ignore!R202C17</stp>
        <tr r="Q202" s="1124"/>
      </tp>
      <tp>
        <v>12</v>
        <stp/>
        <stp>##V3_BLP</stp>
        <stp>US38374MEF23 Mtge</stp>
        <stp>CPN_FREQ</stp>
        <stp>[GNMA Mtge Bonds &amp; Swap CF_generator_Mar2016.DUB.xlsm]ISINS_&amp;_SWAPS!R9C26</stp>
        <tr r="Z9" s="20"/>
      </tp>
      <tp t="s">
        <v>6/20/2030</v>
        <stp/>
        <stp>##V3_BDPV12</stp>
        <stp>US612130HN76 mtge ISIN</stp>
        <stp>Maturity</stp>
        <stp>[GNMA Mtge Bonds &amp; Swap CF_generator_Mar2016.DUB.xlsm]Analysis - ignore!R75C13</stp>
        <tr r="M75" s="1124"/>
      </tp>
      <tp>
        <v>1</v>
        <stp/>
        <stp>##V3_BDPV12</stp>
        <stp>US78443VAE20 mtge ISIN</stp>
        <stp>MTG FACTOR</stp>
        <stp>[GNMA Mtge Bonds &amp; Swap CF_generator_Mar2016.DUB.xlsm]Analysis - ignore!R158C17</stp>
        <tr r="Q158" s="1124"/>
      </tp>
      <tp>
        <v>0</v>
        <stp/>
        <stp>##V3_BDPV12</stp>
        <stp>US78444EAB56 mtge ISIN</stp>
        <stp>MTG FACTOR</stp>
        <stp>[GNMA Mtge Bonds &amp; Swap CF_generator_Mar2016.DUB.xlsm]Analysis - ignore!R164C17</stp>
        <tr r="Q164" s="1124"/>
      </tp>
      <tp>
        <v>0.34359898030000002</v>
        <stp/>
        <stp>##V3_BDPV12</stp>
        <stp>US78442GSK30 mtge ISIN</stp>
        <stp>MTG FACTOR</stp>
        <stp>[GNMA Mtge Bonds &amp; Swap CF_generator_Mar2016.DUB.xlsm]Analysis - ignore!R142C17</stp>
        <tr r="Q142" s="1124"/>
      </tp>
      <tp>
        <v>0.92835598149999998</v>
        <stp/>
        <stp>##V3_BDPV12</stp>
        <stp>US83149EAE77 mtge ISIN</stp>
        <stp>MTG FACTOR</stp>
        <stp>[GNMA Mtge Bonds &amp; Swap CF_generator_Mar2016.DUB.xlsm]Analysis - ignore!R179C17</stp>
        <tr r="Q179" s="1124"/>
      </tp>
      <tp>
        <v>1</v>
        <stp/>
        <stp>##V3_BDPV12</stp>
        <stp>US78445CAD48 mtge ISIN</stp>
        <stp>MTG FACTOR</stp>
        <stp>[GNMA Mtge Bonds &amp; Swap CF_generator_Mar2016.DUB.xlsm]Analysis - ignore!R174C17</stp>
        <tr r="Q174" s="1124"/>
      </tp>
      <tp>
        <v>0</v>
        <stp/>
        <stp>##V3_BDPV12</stp>
        <stp>US78444NAB55 mtge ISIN</stp>
        <stp>MTG FACTOR</stp>
        <stp>[GNMA Mtge Bonds &amp; Swap CF_generator_Mar2016.DUB.xlsm]Analysis - ignore!R168C17</stp>
        <tr r="Q168" s="1124"/>
      </tp>
      <tp>
        <v>1</v>
        <stp/>
        <stp>##V3_BDPV12</stp>
        <stp>US78442GPH38 mtge ISIN</stp>
        <stp>MTG FACTOR</stp>
        <stp>[GNMA Mtge Bonds &amp; Swap CF_generator_Mar2016.DUB.xlsm]Analysis - ignore!R131C17</stp>
        <tr r="Q131" s="1124"/>
      </tp>
      <tp>
        <v>1</v>
        <stp/>
        <stp>##V3_BDPV12</stp>
        <stp>US78443GAF28 mtge ISIN</stp>
        <stp>MTG FACTOR</stp>
        <stp>[GNMA Mtge Bonds &amp; Swap CF_generator_Mar2016.DUB.xlsm]Analysis - ignore!R150C17</stp>
        <tr r="Q150" s="1124"/>
      </tp>
      <tp>
        <v>1</v>
        <stp/>
        <stp>##V3_BDPV12</stp>
        <stp>US784420AJ00 mtge ISIN</stp>
        <stp>MTG FACTOR</stp>
        <stp>[GNMA Mtge Bonds &amp; Swap CF_generator_Mar2016.DUB.xlsm]Analysis - ignore!R109C17</stp>
        <tr r="Q109" s="1124"/>
      </tp>
      <tp>
        <v>1</v>
        <stp/>
        <stp>##V3_BDPV12</stp>
        <stp>US784423AG00 mtge ISIN</stp>
        <stp>MTG FACTOR</stp>
        <stp>[GNMA Mtge Bonds &amp; Swap CF_generator_Mar2016.DUB.xlsm]Analysis - ignore!R117C17</stp>
        <tr r="Q117" s="1124"/>
      </tp>
      <tp>
        <v>1</v>
        <stp/>
        <stp>##V3_BDPV12</stp>
        <stp>XS0254562209 mtge ISIN</stp>
        <stp>MTG FACTOR</stp>
        <stp>[GNMA Mtge Bonds &amp; Swap CF_generator_Mar2016.DUB.xlsm]Analysis - ignore!R196C17</stp>
        <tr r="Q196" s="1124"/>
      </tp>
      <tp>
        <v>0</v>
        <stp/>
        <stp>##V3_BDPV12</stp>
        <stp>US83714RAY99 mtge ISIN</stp>
        <stp>MTG FACTOR</stp>
        <stp>[GNMA Mtge Bonds &amp; Swap CF_generator_Mar2016.DUB.xlsm]Analysis - ignore!R183C17</stp>
        <tr r="Q183" s="1124"/>
      </tp>
      <tp t="s">
        <v>3/20/2024</v>
        <stp/>
        <stp>##V3_BDPV12</stp>
        <stp>US612130HP25 mtge ISIN</stp>
        <stp>Maturity</stp>
        <stp>[GNMA Mtge Bonds &amp; Swap CF_generator_Mar2016.DUB.xlsm]Analysis - ignore!R76C13</stp>
        <tr r="M76" s="1124"/>
      </tp>
      <tp>
        <v>1</v>
        <stp/>
        <stp>##V3_BDPV12</stp>
        <stp>US78443BAG14 mtge ISIN</stp>
        <stp>MTG FACTOR</stp>
        <stp>[GNMA Mtge Bonds &amp; Swap CF_generator_Mar2016.DUB.xlsm]Analysis - ignore!R145C17</stp>
        <tr r="Q145" s="1124"/>
      </tp>
      <tp>
        <v>1</v>
        <stp/>
        <stp>##V3_BDPV12</stp>
        <stp>US78445FAD78 mtge ISIN</stp>
        <stp>MTG FACTOR</stp>
        <stp>[GNMA Mtge Bonds &amp; Swap CF_generator_Mar2016.DUB.xlsm]Analysis - ignore!R178C17</stp>
        <tr r="Q178" s="1124"/>
      </tp>
      <tp t="s">
        <v>NSLT 2005-4 A4</v>
        <stp/>
        <stp>##V3_BDPV12</stp>
        <stp>US64031QCJ85 mtge ISIN</stp>
        <stp>SECURITY DES</stp>
        <stp>[GNMA Mtge Bonds &amp; Swap CF_generator_Mar2016.DUB.xlsm]Analysis - ignore!R199C2</stp>
        <tr r="B199" s="1124"/>
      </tp>
      <tp>
        <v>1</v>
        <stp/>
        <stp>##V3_BDPV12</stp>
        <stp>US784422AC13 mtge ISIN</stp>
        <stp>MTG FACTOR</stp>
        <stp>[GNMA Mtge Bonds &amp; Swap CF_generator_Mar2016.DUB.xlsm]Analysis - ignore!R113C17</stp>
        <tr r="Q113" s="1124"/>
      </tp>
      <tp t="s">
        <v>10/16/2038</v>
        <stp/>
        <stp>##V3_BLP</stp>
        <stp>US38374MEF23 Mtge</stp>
        <stp>maturity</stp>
        <stp>[GNMA Mtge Bonds &amp; Swap CF_generator_Mar2016.DUB.xlsm]ISINS_&amp;_SWAPS!R9C23</stp>
        <tr r="W9" s="20"/>
      </tp>
      <tp>
        <v>1</v>
        <stp/>
        <stp>##V3_BDPV12</stp>
        <stp>US194267AQ33 mtge ISIN</stp>
        <stp>MTG FACTOR</stp>
        <stp>[GNMA Mtge Bonds &amp; Swap CF_generator_Mar2016.DUB.xlsm]Analysis - ignore!R200C17</stp>
        <tr r="Q200" s="1124"/>
      </tp>
      <tp>
        <v>0.67904317700000005</v>
        <stp/>
        <stp>##V3_BDPV12</stp>
        <stp>XS0187454706 mtge ISIN</stp>
        <stp>MTG FACTOR</stp>
        <stp>[GNMA Mtge Bonds &amp; Swap CF_generator_Mar2016.DUB.xlsm]Analysis - ignore!R193C17</stp>
        <tr r="Q193" s="1124"/>
      </tp>
      <tp>
        <v>1</v>
        <stp/>
        <stp>##V3_BDPV12</stp>
        <stp>US784428AF14 mtge ISIN</stp>
        <stp>MTG FACTOR</stp>
        <stp>[GNMA Mtge Bonds &amp; Swap CF_generator_Mar2016.DUB.xlsm]Analysis - ignore!R121C17</stp>
        <tr r="Q121" s="1124"/>
      </tp>
      <tp>
        <v>0</v>
        <stp/>
        <stp>##V3_BDPV12</stp>
        <stp>US429827AU22 mtge ISIN</stp>
        <stp>MTG FACTOR</stp>
        <stp>[GNMA Mtge Bonds &amp; Swap CF_generator_Mar2016.DUB.xlsm]Analysis - ignore!R201C17</stp>
        <tr r="Q201" s="1124"/>
      </tp>
      <tp t="s">
        <v>6/27/2040</v>
        <stp/>
        <stp>##V3_BDPV12</stp>
        <stp>US493268CD64 mtge ISIN</stp>
        <stp>Maturity</stp>
        <stp>[GNMA Mtge Bonds &amp; Swap CF_generator_Mar2016.DUB.xlsm]Analysis - ignore!R72C13</stp>
        <tr r="M72" s="1124"/>
      </tp>
      <tp>
        <v>1</v>
        <stp/>
        <stp>##V3_BDPV12</stp>
        <stp>US78443XAD03 mtge ISIN</stp>
        <stp>MTG FACTOR</stp>
        <stp>[GNMA Mtge Bonds &amp; Swap CF_generator_Mar2016.DUB.xlsm]Analysis - ignore!R160C17</stp>
        <tr r="Q160" s="1124"/>
      </tp>
      <tp>
        <v>1</v>
        <stp/>
        <stp>##V3_BDPV12</stp>
        <stp>US78444XAE76 mtge ISIN</stp>
        <stp>MTG FACTOR</stp>
        <stp>[GNMA Mtge Bonds &amp; Swap CF_generator_Mar2016.DUB.xlsm]Analysis - ignore!R172C17</stp>
        <tr r="Q172" s="1124"/>
      </tp>
      <tp>
        <v>0.4537611111</v>
        <stp/>
        <stp>##V3_BDPV12</stp>
        <stp>US83714RBB87 mtge ISIN</stp>
        <stp>MTG FACTOR</stp>
        <stp>[GNMA Mtge Bonds &amp; Swap CF_generator_Mar2016.DUB.xlsm]Analysis - ignore!R185C17</stp>
        <tr r="Q185" s="1124"/>
      </tp>
      <tp>
        <v>1</v>
        <stp/>
        <stp>##V3_BDPV12</stp>
        <stp>US78444AAE73 mtge ISIN</stp>
        <stp>MTG FACTOR</stp>
        <stp>[GNMA Mtge Bonds &amp; Swap CF_generator_Mar2016.DUB.xlsm]Analysis - ignore!R163C17</stp>
        <tr r="Q163" s="1124"/>
      </tp>
      <tp>
        <v>0</v>
        <stp/>
        <stp>##V3_BDPV12</stp>
        <stp>US78442GMX15 mtge ISIN</stp>
        <stp>MTG FACTOR</stp>
        <stp>[GNMA Mtge Bonds &amp; Swap CF_generator_Mar2016.DUB.xlsm]Analysis - ignore!R125C17</stp>
        <tr r="Q125" s="1124"/>
      </tp>
      <tp>
        <v>0.71420355420000003</v>
        <stp/>
        <stp>##V3_BDPV12</stp>
        <stp>US78442GSL13 mtge ISIN</stp>
        <stp>MTG FACTOR</stp>
        <stp>[GNMA Mtge Bonds &amp; Swap CF_generator_Mar2016.DUB.xlsm]Analysis - ignore!R143C17</stp>
        <tr r="Q143" s="1124"/>
      </tp>
      <tp>
        <v>0.77128380780000005</v>
        <stp/>
        <stp>##V3_BDPV12</stp>
        <stp>US78445CAC64 mtge ISIN</stp>
        <stp>MTG FACTOR</stp>
        <stp>[GNMA Mtge Bonds &amp; Swap CF_generator_Mar2016.DUB.xlsm]Analysis - ignore!R173C17</stp>
        <tr r="Q173" s="1124"/>
      </tp>
      <tp>
        <v>1</v>
        <stp/>
        <stp>##V3_BDPV12</stp>
        <stp>US78443HAF01 mtge ISIN</stp>
        <stp>MTG FACTOR</stp>
        <stp>[GNMA Mtge Bonds &amp; Swap CF_generator_Mar2016.DUB.xlsm]Analysis - ignore!R154C17</stp>
        <tr r="Q154" s="1124"/>
      </tp>
      <tp>
        <v>0.41663784100000001</v>
        <stp/>
        <stp>##V3_BDPV12</stp>
        <stp>US48122HAA23 mtge ISIN</stp>
        <stp>MTG FACTOR</stp>
        <stp>[GNMA Mtge Bonds &amp; Swap CF_generator_Mar2016.DUB.xlsm]Analysis - ignore!R205C17</stp>
        <tr r="Q205" s="1124"/>
      </tp>
      <tp>
        <v>0</v>
        <stp/>
        <stp>##V3_BDPV12</stp>
        <stp>US78444NAA72 mtge ISIN</stp>
        <stp>MTG FACTOR</stp>
        <stp>[GNMA Mtge Bonds &amp; Swap CF_generator_Mar2016.DUB.xlsm]Analysis - ignore!R167C17</stp>
        <tr r="Q167" s="1124"/>
      </tp>
      <tp>
        <v>1</v>
        <stp/>
        <stp>##V3_BDPV12</stp>
        <stp>US78442GRQ19 mtge ISIN</stp>
        <stp>MTG FACTOR</stp>
        <stp>[GNMA Mtge Bonds &amp; Swap CF_generator_Mar2016.DUB.xlsm]Analysis - ignore!R138C17</stp>
        <tr r="Q138" s="1124"/>
      </tp>
      <tp>
        <v>1</v>
        <stp/>
        <stp>##V3_BDPV12</stp>
        <stp>US784427AE65 mtge ISIN</stp>
        <stp>MTG FACTOR</stp>
        <stp>[GNMA Mtge Bonds &amp; Swap CF_generator_Mar2016.DUB.xlsm]Analysis - ignore!R118C17</stp>
        <tr r="Q118" s="1124"/>
      </tp>
      <tp>
        <v>1</v>
        <stp/>
        <stp>##V3_BDPV12</stp>
        <stp>US784420AP69 mtge ISIN</stp>
        <stp>MTG FACTOR</stp>
        <stp>[GNMA Mtge Bonds &amp; Swap CF_generator_Mar2016.DUB.xlsm]Analysis - ignore!R110C17</stp>
        <tr r="Q110" s="1124"/>
      </tp>
      <tp>
        <v>0</v>
        <stp/>
        <stp>##V3_BDPV12</stp>
        <stp>XS0235351904 mtge ISIN</stp>
        <stp>MTG FACTOR</stp>
        <stp>[GNMA Mtge Bonds &amp; Swap CF_generator_Mar2016.DUB.xlsm]Analysis - ignore!R194C17</stp>
        <tr r="Q194" s="1124"/>
      </tp>
      <tp>
        <v>8.8377880500000006E-2</v>
        <stp/>
        <stp>##V3_BDPV12</stp>
        <stp>US784428AD65 mtge ISIN</stp>
        <stp>MTG FACTOR</stp>
        <stp>[GNMA Mtge Bonds &amp; Swap CF_generator_Mar2016.DUB.xlsm]Analysis - ignore!R120C17</stp>
        <tr r="Q120" s="1124"/>
      </tp>
      <tp>
        <v>1</v>
        <stp/>
        <stp>##V3_BDPV12</stp>
        <stp>US78443VAG77 mtge ISIN</stp>
        <stp>MTG FACTOR</stp>
        <stp>[GNMA Mtge Bonds &amp; Swap CF_generator_Mar2016.DUB.xlsm]Analysis - ignore!R159C17</stp>
        <tr r="Q159" s="1124"/>
      </tp>
      <tp>
        <v>0</v>
        <stp/>
        <stp>##V3_BDPV12</stp>
        <stp>US64031QCG47 mtge ISIN</stp>
        <stp>MTG FACTOR</stp>
        <stp>[GNMA Mtge Bonds &amp; Swap CF_generator_Mar2016.DUB.xlsm]Analysis - ignore!R206C17</stp>
        <tr r="Q206" s="1124"/>
      </tp>
      <tp t="s">
        <v>7/25/2024</v>
        <stp/>
        <stp>##V3_BDPV12</stp>
        <stp>US194262CH29 mtge ISIN</stp>
        <stp>Maturity</stp>
        <stp>[GNMA Mtge Bonds &amp; Swap CF_generator_Mar2016.DUB.xlsm]Analysis - ignore!R36C13</stp>
        <tr r="M36" s="1124"/>
      </tp>
      <tp t="s">
        <v>6/1/2023</v>
        <stp/>
        <stp>##V3_BDPV12</stp>
        <stp>US040504FK32 mtge ISIN</stp>
        <stp>Maturity</stp>
        <stp>[GNMA Mtge Bonds &amp; Swap CF_generator_Mar2016.DUB.xlsm]Analysis - ignore!R21C13</stp>
        <tr r="M21" s="1124"/>
      </tp>
      <tp>
        <v>0</v>
        <stp/>
        <stp>##V3_BDPV12</stp>
        <stp>US78442GSJ66 mtge ISIN</stp>
        <stp>MTG FACTOR</stp>
        <stp>[GNMA Mtge Bonds &amp; Swap CF_generator_Mar2016.DUB.xlsm]Analysis - ignore!R141C17</stp>
        <tr r="Q141" s="1124"/>
      </tp>
      <tp>
        <v>0</v>
        <stp/>
        <stp>##V3_BDPV12</stp>
        <stp>US78443HAC79 mtge ISIN</stp>
        <stp>MTG FACTOR</stp>
        <stp>[GNMA Mtge Bonds &amp; Swap CF_generator_Mar2016.DUB.xlsm]Analysis - ignore!R151C17</stp>
        <tr r="Q151" s="1124"/>
      </tp>
      <tp>
        <v>0</v>
        <stp/>
        <stp>##V3_BDPV12</stp>
        <stp>US78442GNU66 mtge ISIN</stp>
        <stp>MTG FACTOR</stp>
        <stp>[GNMA Mtge Bonds &amp; Swap CF_generator_Mar2016.DUB.xlsm]Analysis - ignore!R128C17</stp>
        <tr r="Q128" s="1124"/>
      </tp>
      <tp>
        <v>0</v>
        <stp/>
        <stp>##V3_BDPV12</stp>
        <stp>US78444GAB05 mtge ISIN</stp>
        <stp>MTG FACTOR</stp>
        <stp>[GNMA Mtge Bonds &amp; Swap CF_generator_Mar2016.DUB.xlsm]Analysis - ignore!R166C17</stp>
        <tr r="Q166" s="1124"/>
      </tp>
      <tp>
        <v>0</v>
        <stp/>
        <stp>##V3_BDPV12</stp>
        <stp>US78445FAB13 mtge ISIN</stp>
        <stp>MTG FACTOR</stp>
        <stp>[GNMA Mtge Bonds &amp; Swap CF_generator_Mar2016.DUB.xlsm]Analysis - ignore!R176C17</stp>
        <tr r="Q176" s="1124"/>
      </tp>
      <tp t="s">
        <v>#N/A N/A</v>
        <stp/>
        <stp>##V3_BDPV12</stp>
        <stp>US612130HP25 mtge</stp>
        <stp>MTG WAL</stp>
        <stp>[GNMA Mtge Bonds &amp; Swap CF_generator_Mar2016.DUB.xlsm]Analysis - ignore!R76C10</stp>
        <stp xml:space="preserve">ALLOW_DYNAMIC_CASHFLOW_CALCS </stp>
        <stp>Y</stp>
        <stp>MTG PREPAY SPEED</stp>
        <stp>0</stp>
        <stp>MTG PREPAY TYP</stp>
        <stp>CPR</stp>
        <tr r="J76" s="1124"/>
      </tp>
      <tp>
        <v>1</v>
        <stp/>
        <stp>##V3_BDPV12</stp>
        <stp>US66704JBC18 mtge ISIN</stp>
        <stp>MTG FACTOR</stp>
        <stp>[GNMA Mtge Bonds &amp; Swap CF_generator_Mar2016.DUB.xlsm]Analysis - ignore!R100C17</stp>
        <tr r="Q100" s="1124"/>
      </tp>
      <tp>
        <v>0.90453928298199993</v>
        <stp/>
        <stp>##V3_BDPV12</stp>
        <stp>US78443FAE79 mtge ISIN</stp>
        <stp>MTG FACTOR</stp>
        <stp>[GNMA Mtge Bonds &amp; Swap CF_generator_Mar2016.DUB.xlsm]Analysis - ignore!R147C17</stp>
        <tr r="Q147" s="1124"/>
      </tp>
      <tp>
        <v>0</v>
        <stp/>
        <stp>##V3_BDPV12</stp>
        <stp>US78442GNC68 mtge ISIN</stp>
        <stp>MTG FACTOR</stp>
        <stp>[GNMA Mtge Bonds &amp; Swap CF_generator_Mar2016.DUB.xlsm]Analysis - ignore!R126C17</stp>
        <tr r="Q126" s="1124"/>
      </tp>
      <tp>
        <v>1</v>
        <stp/>
        <stp>##V3_BDPV12</stp>
        <stp>US78442GRX69 mtge ISIN</stp>
        <stp>MTG FACTOR</stp>
        <stp>[GNMA Mtge Bonds &amp; Swap CF_generator_Mar2016.DUB.xlsm]Analysis - ignore!R139C17</stp>
        <tr r="Q139" s="1124"/>
      </tp>
      <tp>
        <v>0</v>
        <stp/>
        <stp>##V3_BDPV12</stp>
        <stp>US784423AD78 mtge ISIN</stp>
        <stp>MTG FACTOR</stp>
        <stp>[GNMA Mtge Bonds &amp; Swap CF_generator_Mar2016.DUB.xlsm]Analysis - ignore!R114C17</stp>
        <tr r="Q114" s="1124"/>
      </tp>
      <tp t="s">
        <v>1/25/2030</v>
        <stp/>
        <stp>##V3_BDPV12</stp>
        <stp>US640315AE72 mtge ISIN</stp>
        <stp>Maturity</stp>
        <stp>[GNMA Mtge Bonds &amp; Swap CF_generator_Mar2016.DUB.xlsm]Analysis - ignore!R78C13</stp>
        <tr r="M78" s="1124"/>
      </tp>
      <tp t="s">
        <v>10/25/2025</v>
        <stp/>
        <stp>##V3_BDPV12</stp>
        <stp>US194262CQ28 mtge ISIN</stp>
        <stp>Maturity</stp>
        <stp>[GNMA Mtge Bonds &amp; Swap CF_generator_Mar2016.DUB.xlsm]Analysis - ignore!R39C13</stp>
        <tr r="M39" s="1124"/>
      </tp>
      <tp>
        <v>1</v>
        <stp/>
        <stp>##V3_BDPV12</stp>
        <stp>US66704JBH05 mtge ISIN</stp>
        <stp>MTG FACTOR</stp>
        <stp>[GNMA Mtge Bonds &amp; Swap CF_generator_Mar2016.DUB.xlsm]Analysis - ignore!R102C17</stp>
        <tr r="Q102" s="1124"/>
      </tp>
      <tp>
        <v>0</v>
        <stp/>
        <stp>##V3_BDPV12</stp>
        <stp>US78443BAE65 mtge ISIN</stp>
        <stp>MTG FACTOR</stp>
        <stp>[GNMA Mtge Bonds &amp; Swap CF_generator_Mar2016.DUB.xlsm]Analysis - ignore!R144C17</stp>
        <tr r="Q144" s="1124"/>
      </tp>
      <tp>
        <v>1</v>
        <stp/>
        <stp>##V3_BDPV12</stp>
        <stp>US78444EAD13 mtge ISIN</stp>
        <stp>MTG FACTOR</stp>
        <stp>[GNMA Mtge Bonds &amp; Swap CF_generator_Mar2016.DUB.xlsm]Analysis - ignore!R165C17</stp>
        <tr r="Q165" s="1124"/>
      </tp>
      <tp>
        <v>0</v>
        <stp/>
        <stp>##V3_BDPV12</stp>
        <stp>US78442GNP71 mtge ISIN</stp>
        <stp>MTG FACTOR</stp>
        <stp>[GNMA Mtge Bonds &amp; Swap CF_generator_Mar2016.DUB.xlsm]Analysis - ignore!R127C17</stp>
        <tr r="Q127" s="1124"/>
      </tp>
      <tp>
        <v>0.60830089939999998</v>
        <stp/>
        <stp>##V3_BDPV12</stp>
        <stp>US92978JAE38 mtge ISIN</stp>
        <stp>MTG FACTOR</stp>
        <stp>[GNMA Mtge Bonds &amp; Swap CF_generator_Mar2016.DUB.xlsm]Analysis - ignore!R191C17</stp>
        <tr r="Q191" s="1124"/>
      </tp>
      <tp t="s">
        <v>#N/A N/A</v>
        <stp/>
        <stp>##V3_BDPV12</stp>
        <stp>US493268CD64 mtge</stp>
        <stp>MTG WAL</stp>
        <stp>[GNMA Mtge Bonds &amp; Swap CF_generator_Mar2016.DUB.xlsm]Analysis - ignore!R72C10</stp>
        <stp xml:space="preserve">ALLOW_DYNAMIC_CASHFLOW_CALCS </stp>
        <stp>Y</stp>
        <stp>MTG PREPAY SPEED</stp>
        <stp>0</stp>
        <stp>MTG PREPAY TYP</stp>
        <stp>CPR</stp>
        <tr r="J72" s="1124"/>
      </tp>
      <tp>
        <v>1</v>
        <stp/>
        <stp>##V3_BDPV12</stp>
        <stp>US78444NAD12 mtge ISIN</stp>
        <stp>MTG FACTOR</stp>
        <stp>[GNMA Mtge Bonds &amp; Swap CF_generator_Mar2016.DUB.xlsm]Analysis - ignore!R170C17</stp>
        <tr r="Q170" s="1124"/>
      </tp>
      <tp>
        <v>1</v>
        <stp/>
        <stp>##V3_BDPV12</stp>
        <stp>US78443KAE64 mtge ISIN</stp>
        <stp>MTG FACTOR</stp>
        <stp>[GNMA Mtge Bonds &amp; Swap CF_generator_Mar2016.DUB.xlsm]Analysis - ignore!R155C17</stp>
        <tr r="Q155" s="1124"/>
      </tp>
      <tp t="s">
        <v>SLMA 2007-1 A4</v>
        <stp/>
        <stp>##V3_BDPV12</stp>
        <stp>US78443VAD47 mtge ISIN</stp>
        <stp>SECURITY DES</stp>
        <stp>[GNMA Mtge Bonds &amp; Swap CF_generator_Mar2016.DUB.xlsm]Analysis - ignore!R157C2</stp>
        <tr r="B157" s="1124"/>
      </tp>
      <tp>
        <v>1</v>
        <stp/>
        <stp>##V3_BDPV12</stp>
        <stp>US784420AQ43 mtge ISIN</stp>
        <stp>MTG FACTOR</stp>
        <stp>[GNMA Mtge Bonds &amp; Swap CF_generator_Mar2016.DUB.xlsm]Analysis - ignore!R111C17</stp>
        <tr r="Q111" s="1124"/>
      </tp>
      <tp>
        <v>0</v>
        <stp/>
        <stp>##V3_BDPV12</stp>
        <stp>US78442GQG46 mtge ISIN</stp>
        <stp>MTG FACTOR</stp>
        <stp>[GNMA Mtge Bonds &amp; Swap CF_generator_Mar2016.DUB.xlsm]Analysis - ignore!R133C17</stp>
        <tr r="Q133" s="1124"/>
      </tp>
      <tp>
        <v>1</v>
        <stp/>
        <stp>##V3_BDPV12</stp>
        <stp>US92978JAF03 mtge ISIN</stp>
        <stp>MTG FACTOR</stp>
        <stp>[GNMA Mtge Bonds &amp; Swap CF_generator_Mar2016.DUB.xlsm]Analysis - ignore!R192C17</stp>
        <tr r="Q192" s="1124"/>
      </tp>
      <tp>
        <v>0.73797241920300005</v>
        <stp/>
        <stp>##V3_BDPV12</stp>
        <stp>US78443GAE52 mtge ISIN</stp>
        <stp>MTG FACTOR</stp>
        <stp>[GNMA Mtge Bonds &amp; Swap CF_generator_Mar2016.DUB.xlsm]Analysis - ignore!R149C17</stp>
        <tr r="Q149" s="1124"/>
      </tp>
      <tp>
        <v>1</v>
        <stp/>
        <stp>##V3_BDPV12</stp>
        <stp>US78442GRB40 mtge ISIN</stp>
        <stp>MTG FACTOR</stp>
        <stp>[GNMA Mtge Bonds &amp; Swap CF_generator_Mar2016.DUB.xlsm]Analysis - ignore!R136C17</stp>
        <tr r="Q136" s="1124"/>
      </tp>
      <tp>
        <v>0</v>
        <stp/>
        <stp>##V3_BDPV12</stp>
        <stp>US78442GNV40 mtge ISIN</stp>
        <stp>MTG FACTOR</stp>
        <stp>[GNMA Mtge Bonds &amp; Swap CF_generator_Mar2016.DUB.xlsm]Analysis - ignore!R129C17</stp>
        <tr r="Q129" s="1124"/>
      </tp>
      <tp>
        <v>1</v>
        <stp/>
        <stp>##V3_BDPV12</stp>
        <stp>US83149EAH09 mtge ISIN</stp>
        <stp>MTG FACTOR</stp>
        <stp>[GNMA Mtge Bonds &amp; Swap CF_generator_Mar2016.DUB.xlsm]Analysis - ignore!R180C17</stp>
        <tr r="Q180" s="1124"/>
      </tp>
      <tp>
        <v>0</v>
        <stp/>
        <stp>##V3_BDPV12</stp>
        <stp>US78445FAA30 mtge ISIN</stp>
        <stp>MTG FACTOR</stp>
        <stp>[GNMA Mtge Bonds &amp; Swap CF_generator_Mar2016.DUB.xlsm]Analysis - ignore!R175C17</stp>
        <tr r="Q175" s="1124"/>
      </tp>
      <tp>
        <v>0.1084846746</v>
        <stp/>
        <stp>##V3_BDPV12</stp>
        <stp>US78443HAD52 mtge ISIN</stp>
        <stp>MTG FACTOR</stp>
        <stp>[GNMA Mtge Bonds &amp; Swap CF_generator_Mar2016.DUB.xlsm]Analysis - ignore!R152C17</stp>
        <tr r="Q152" s="1124"/>
      </tp>
      <tp t="s">
        <v>#N/A N/A</v>
        <stp/>
        <stp>##V3_BDPV12</stp>
        <stp>US462592AC02 mtge</stp>
        <stp>MTG WAL</stp>
        <stp>[GNMA Mtge Bonds &amp; Swap CF_generator_Mar2016.DUB.xlsm]Analysis - ignore!R71C10</stp>
        <stp xml:space="preserve">ALLOW_DYNAMIC_CASHFLOW_CALCS </stp>
        <stp>Y</stp>
        <stp>MTG PREPAY SPEED</stp>
        <stp>0</stp>
        <stp>MTG PREPAY TYP</stp>
        <stp>CPR</stp>
        <tr r="J71" s="1124"/>
      </tp>
      <tp t="s">
        <v>7/16/2016</v>
        <stp/>
        <stp>##V3_BLP</stp>
        <stp>US38374MEF23 Mtge</stp>
        <stp>nxt_cpn_dt</stp>
        <stp>[GNMA Mtge Bonds &amp; Swap CF_generator_Mar2016.DUB.xlsm]ISINS_&amp;_SWAPS!R9C19</stp>
        <tr r="S9" s="20"/>
      </tp>
      <tp>
        <v>0.19936477890000001</v>
        <stp/>
        <stp>##V3_BDPV12</stp>
        <stp>US784423AE51 mtge ISIN</stp>
        <stp>MTG FACTOR</stp>
        <stp>[GNMA Mtge Bonds &amp; Swap CF_generator_Mar2016.DUB.xlsm]Analysis - ignore!R115C17</stp>
        <tr r="Q115" s="1124"/>
      </tp>
      <tp>
        <v>0.49328054370000002</v>
        <stp/>
        <stp>##V3_BDPV12</stp>
        <stp>US709163EK19 mtge ISIN</stp>
        <stp>MTG FACTOR</stp>
        <stp>[GNMA Mtge Bonds &amp; Swap CF_generator_Mar2016.DUB.xlsm]Analysis - ignore!R106C17</stp>
        <tr r="Q106" s="1124"/>
      </tp>
      <tp>
        <v>1</v>
        <stp/>
        <stp>##V3_BDPV12</stp>
        <stp>US429827AX60 mtge ISIN</stp>
        <stp>MTG FACTOR</stp>
        <stp>[GNMA Mtge Bonds &amp; Swap CF_generator_Mar2016.DUB.xlsm]Analysis - ignore!R204C17</stp>
        <tr r="Q204" s="1124"/>
      </tp>
      <tp>
        <v>6.5491626400000003E-2</v>
        <stp/>
        <stp>##V3_BDPV12</stp>
        <stp>US78443VAD47 mtge ISIN</stp>
        <stp>MTG FACTOR</stp>
        <stp>[GNMA Mtge Bonds &amp; Swap CF_generator_Mar2016.DUB.xlsm]Analysis - ignore!R157C17</stp>
        <tr r="Q157" s="1124"/>
      </tp>
      <tp>
        <v>0.85771495389999997</v>
        <stp/>
        <stp>##V3_BDPV12</stp>
        <stp>US78442GPG54 mtge ISIN</stp>
        <stp>MTG FACTOR</stp>
        <stp>[GNMA Mtge Bonds &amp; Swap CF_generator_Mar2016.DUB.xlsm]Analysis - ignore!R130C17</stp>
        <tr r="Q130" s="1124"/>
      </tp>
      <tp>
        <v>1</v>
        <stp/>
        <stp>##V3_BDPV12</stp>
        <stp>US78443FAF45 mtge ISIN</stp>
        <stp>MTG FACTOR</stp>
        <stp>[GNMA Mtge Bonds &amp; Swap CF_generator_Mar2016.DUB.xlsm]Analysis - ignore!R148C17</stp>
        <tr r="Q148" s="1124"/>
      </tp>
      <tp>
        <v>0.57605292990000001</v>
        <stp/>
        <stp>##V3_BDPV12</stp>
        <stp>US78444NAC39 mtge ISIN</stp>
        <stp>MTG FACTOR</stp>
        <stp>[GNMA Mtge Bonds &amp; Swap CF_generator_Mar2016.DUB.xlsm]Analysis - ignore!R169C17</stp>
        <tr r="Q169" s="1124"/>
      </tp>
      <tp t="s">
        <v>#N/A N/A</v>
        <stp/>
        <stp>##V3_BDPV12</stp>
        <stp>US612130HN76 mtge</stp>
        <stp>MTG WAL</stp>
        <stp>[GNMA Mtge Bonds &amp; Swap CF_generator_Mar2016.DUB.xlsm]Analysis - ignore!R75C10</stp>
        <stp xml:space="preserve">ALLOW_DYNAMIC_CASHFLOW_CALCS </stp>
        <stp>Y</stp>
        <stp>MTG PREPAY SPEED</stp>
        <stp>5</stp>
        <stp>MTG PREPAY TYP</stp>
        <stp>CPR</stp>
        <tr r="J75" s="1124"/>
      </tp>
      <tp>
        <v>1</v>
        <stp/>
        <stp>##V3_BDPV12</stp>
        <stp>US66704JBG22 mtge ISIN</stp>
        <stp>MTG FACTOR</stp>
        <stp>[GNMA Mtge Bonds &amp; Swap CF_generator_Mar2016.DUB.xlsm]Analysis - ignore!R101C17</stp>
        <tr r="Q101" s="1124"/>
      </tp>
      <tp>
        <v>0.33793247589999997</v>
        <stp/>
        <stp>##V3_BDPV12</stp>
        <stp>US78442GKE51 mtge ISIN</stp>
        <stp>MTG FACTOR</stp>
        <stp>[GNMA Mtge Bonds &amp; Swap CF_generator_Mar2016.DUB.xlsm]Analysis - ignore!R123C17</stp>
        <tr r="Q123" s="1124"/>
      </tp>
      <tp t="s">
        <v>#N/A N/A</v>
        <stp/>
        <stp>##V3_BDPV12</stp>
        <stp>US040504FK32 mtge</stp>
        <stp>MTG WAL</stp>
        <stp>[GNMA Mtge Bonds &amp; Swap CF_generator_Mar2016.DUB.xlsm]Analysis - ignore!R21C10</stp>
        <stp xml:space="preserve">ALLOW_DYNAMIC_CASHFLOW_CALCS </stp>
        <stp>Y</stp>
        <stp>MTG PREPAY SPEED</stp>
        <stp>0</stp>
        <stp>MTG PREPAY TYP</stp>
        <stp>CPR</stp>
        <tr r="J21" s="1124"/>
      </tp>
      <tp t="s">
        <v>#N/A N/A</v>
        <stp/>
        <stp>##V3_BDPV12</stp>
        <stp>US10620NAX66 mtge</stp>
        <stp>MTG WAL</stp>
        <stp>[GNMA Mtge Bonds &amp; Swap CF_generator_Mar2016.DUB.xlsm]Analysis - ignore!R27C10</stp>
        <stp xml:space="preserve">ALLOW_DYNAMIC_CASHFLOW_CALCS </stp>
        <stp>Y</stp>
        <stp>MTG PREPAY SPEED</stp>
        <stp>100</stp>
        <stp>MTG PREPAY TYP</stp>
        <stp>PPC</stp>
        <tr r="J27" s="1124"/>
      </tp>
      <tp>
        <v>0.55667827697700012</v>
        <stp/>
        <stp>##V3_BDPV12</stp>
        <stp>US78442GFL59 mtge ISIN</stp>
        <stp>MTG FACTOR</stp>
        <stp>[GNMA Mtge Bonds &amp; Swap CF_generator_Mar2016.DUB.xlsm]Analysis - ignore!R122C17</stp>
        <tr r="Q122" s="1124"/>
      </tp>
      <tp>
        <v>0</v>
        <stp/>
        <stp>##V3_BDPV12</stp>
        <stp>US708788AB03 mtge ISIN</stp>
        <stp>MTG FACTOR</stp>
        <stp>[GNMA Mtge Bonds &amp; Swap CF_generator_Mar2016.DUB.xlsm]Analysis - ignore!R104C17</stp>
        <tr r="Q104" s="1124"/>
      </tp>
      <tp t="s">
        <v>6/1/2020</v>
        <stp/>
        <stp>##V3_BDPV12</stp>
        <stp>US658262DV99 mtge ISIN</stp>
        <stp>Maturity</stp>
        <stp>[GNMA Mtge Bonds &amp; Swap CF_generator_Mar2016.DUB.xlsm]Analysis - ignore!R96C13</stp>
        <tr r="M96" s="1124"/>
      </tp>
      <tp>
        <v>1</v>
        <stp/>
        <stp>##V3_BDPV12</stp>
        <stp>US64031QCJ85 mtge ISIN</stp>
        <stp>MTG FACTOR</stp>
        <stp>[GNMA Mtge Bonds &amp; Swap CF_generator_Mar2016.DUB.xlsm]Analysis - ignore!R199C17</stp>
        <tr r="Q199" s="1124"/>
      </tp>
      <tp t="s">
        <v>SCSLC 2006-1 A2</v>
        <stp/>
        <stp>##V3_BDPV12</stp>
        <stp>US83714RBB87 mtge ISIN</stp>
        <stp>SECURITY DES</stp>
        <stp>[GNMA Mtge Bonds &amp; Swap CF_generator_Mar2016.DUB.xlsm]Analysis - ignore!R185C2</stp>
        <tr r="B185" s="1124"/>
      </tp>
      <tp t="s">
        <v>SLMA 2007-2 A4</v>
        <stp/>
        <stp>##V3_BDPV12</stp>
        <stp>US78443XAD03 mtge ISIN</stp>
        <stp>SECURITY DES</stp>
        <stp>[GNMA Mtge Bonds &amp; Swap CF_generator_Mar2016.DUB.xlsm]Analysis - ignore!R160C2</stp>
        <tr r="B160" s="1124"/>
      </tp>
      <tp>
        <v>1</v>
        <stp/>
        <stp>##V3_BDPV12</stp>
        <stp>US429827AW87 mtge ISIN</stp>
        <stp>MTG FACTOR</stp>
        <stp>[GNMA Mtge Bonds &amp; Swap CF_generator_Mar2016.DUB.xlsm]Analysis - ignore!R203C17</stp>
        <tr r="Q203" s="1124"/>
      </tp>
      <tp t="s">
        <v>3/26/2029</v>
        <stp/>
        <stp>##V3_BDPV12</stp>
        <stp>US106238LE67 mtge ISIN</stp>
        <stp>Maturity</stp>
        <stp>[GNMA Mtge Bonds &amp; Swap CF_generator_Mar2016.DUB.xlsm]Analysis - ignore!R29C13</stp>
        <tr r="M29" s="1124"/>
      </tp>
      <tp t="s">
        <v>10/15/2021</v>
        <stp/>
        <stp>##V3_BDPV12</stp>
        <stp>US194266AB80 mtge ISIN</stp>
        <stp>Maturity</stp>
        <stp>[GNMA Mtge Bonds &amp; Swap CF_generator_Mar2016.DUB.xlsm]Analysis - ignore!R43C13</stp>
        <tr r="M43" s="1124"/>
      </tp>
      <tp t="s">
        <v>10/25/2025</v>
        <stp/>
        <stp>##V3_BDPV12</stp>
        <stp>US194262CJ84 mtge ISIN</stp>
        <stp>Maturity</stp>
        <stp>[GNMA Mtge Bonds &amp; Swap CF_generator_Mar2016.DUB.xlsm]Analysis - ignore!R37C13</stp>
        <tr r="M37" s="1124"/>
      </tp>
      <tp>
        <v>0</v>
        <stp/>
        <stp>##V3_BDPV12</stp>
        <stp>US86800NAB64 mtge ISIN</stp>
        <stp>MTG FACTOR</stp>
        <stp>[GNMA Mtge Bonds &amp; Swap CF_generator_Mar2016.DUB.xlsm]Analysis - ignore!R186C17</stp>
        <tr r="Q186" s="1124"/>
      </tp>
      <tp t="s">
        <v>SLMA 2007-8 A4</v>
        <stp/>
        <stp>##V3_BDPV12</stp>
        <stp>US78444XAD93 mtge ISIN</stp>
        <stp>SECURITY DES</stp>
        <stp>[GNMA Mtge Bonds &amp; Swap CF_generator_Mar2016.DUB.xlsm]Analysis - ignore!R171C2</stp>
        <tr r="B171" s="1124"/>
      </tp>
      <tp t="s">
        <v>11/25/2014</v>
        <stp/>
        <stp>##V3_BDPV12</stp>
        <stp>US340640AE18 mtge ISIN</stp>
        <stp>Maturity</stp>
        <stp>[GNMA Mtge Bonds &amp; Swap CF_generator_Mar2016.DUB.xlsm]Analysis - ignore!R52C13</stp>
        <tr r="M52" s="1124"/>
      </tp>
      <tp>
        <v>0</v>
        <stp/>
        <stp>##V3_BDPV12</stp>
        <stp>US83714RAX17 mtge ISIN</stp>
        <stp>MTG FACTOR</stp>
        <stp>[GNMA Mtge Bonds &amp; Swap CF_generator_Mar2016.DUB.xlsm]Analysis - ignore!R182C17</stp>
        <tr r="Q182" s="1124"/>
      </tp>
      <tp>
        <v>0.15391780629999999</v>
        <stp/>
        <stp>##V3_BDPV12</stp>
        <stp>US78442GRN87 mtge ISIN</stp>
        <stp>MTG FACTOR</stp>
        <stp>[GNMA Mtge Bonds &amp; Swap CF_generator_Mar2016.DUB.xlsm]Analysis - ignore!R137C17</stp>
        <tr r="Q137" s="1124"/>
      </tp>
      <tp>
        <v>0</v>
        <stp/>
        <stp>##V3_BDPV12</stp>
        <stp>US78443FAD96 mtge ISIN</stp>
        <stp>MTG FACTOR</stp>
        <stp>[GNMA Mtge Bonds &amp; Swap CF_generator_Mar2016.DUB.xlsm]Analysis - ignore!R146C17</stp>
        <tr r="Q146" s="1124"/>
      </tp>
      <tp>
        <v>1</v>
        <stp/>
        <stp>##V3_BDPV12</stp>
        <stp>US78442GQJ84 mtge ISIN</stp>
        <stp>MTG FACTOR</stp>
        <stp>[GNMA Mtge Bonds &amp; Swap CF_generator_Mar2016.DUB.xlsm]Analysis - ignore!R134C17</stp>
        <tr r="Q134" s="1124"/>
      </tp>
      <tp>
        <v>1</v>
        <stp/>
        <stp>##V3_BDPV12</stp>
        <stp>US78442GQS83 mtge ISIN</stp>
        <stp>MTG FACTOR</stp>
        <stp>[GNMA Mtge Bonds &amp; Swap CF_generator_Mar2016.DUB.xlsm]Analysis - ignore!R135C17</stp>
        <tr r="Q135" s="1124"/>
      </tp>
      <tp t="s">
        <v>3/25/2022</v>
        <stp/>
        <stp>##V3_BDPV12</stp>
        <stp>US462592AB29 mtge ISIN</stp>
        <stp>Maturity</stp>
        <stp>[GNMA Mtge Bonds &amp; Swap CF_generator_Mar2016.DUB.xlsm]Analysis - ignore!R70C13</stp>
        <tr r="M70" s="1124"/>
      </tp>
      <tp t="s">
        <v>9/25/2024</v>
        <stp/>
        <stp>##V3_BDPV12</stp>
        <stp>US280907BW52 mtge ISIN</stp>
        <stp>Maturity</stp>
        <stp>[GNMA Mtge Bonds &amp; Swap CF_generator_Mar2016.DUB.xlsm]Analysis - ignore!R51C13</stp>
        <tr r="M51" s="1124"/>
      </tp>
      <tp>
        <v>1</v>
        <stp/>
        <stp>##V3_BDPV12</stp>
        <stp>US78443YAD85 mtge ISIN</stp>
        <stp>MTG FACTOR</stp>
        <stp>[GNMA Mtge Bonds &amp; Swap CF_generator_Mar2016.DUB.xlsm]Analysis - ignore!R161C17</stp>
        <tr r="Q161" s="1124"/>
      </tp>
      <tp>
        <v>0</v>
        <stp/>
        <stp>##V3_BDPV12</stp>
        <stp>US83714RBA05 mtge ISIN</stp>
        <stp>MTG FACTOR</stp>
        <stp>[GNMA Mtge Bonds &amp; Swap CF_generator_Mar2016.DUB.xlsm]Analysis - ignore!R184C17</stp>
        <tr r="Q184" s="1124"/>
      </tp>
      <tp t="s">
        <v>1/25/2034</v>
        <stp/>
        <stp>##V3_BDPV12</stp>
        <stp>US194262CT66 mtge ISIN</stp>
        <stp>Maturity</stp>
        <stp>[GNMA Mtge Bonds &amp; Swap CF_generator_Mar2016.DUB.xlsm]Analysis - ignore!R42C13</stp>
        <tr r="M42" s="1124"/>
      </tp>
      <tp>
        <v>1</v>
        <stp/>
        <stp>##V3_BDPV12</stp>
        <stp>US78442GSD96 mtge ISIN</stp>
        <stp>MTG FACTOR</stp>
        <stp>[GNMA Mtge Bonds &amp; Swap CF_generator_Mar2016.DUB.xlsm]Analysis - ignore!R140C17</stp>
        <tr r="Q140" s="1124"/>
      </tp>
      <tp>
        <v>1</v>
        <stp/>
        <stp>##V3_BDPV12</stp>
        <stp>US78442GQE97 mtge ISIN</stp>
        <stp>MTG FACTOR</stp>
        <stp>[GNMA Mtge Bonds &amp; Swap CF_generator_Mar2016.DUB.xlsm]Analysis - ignore!R132C17</stp>
        <tr r="Q132" s="1124"/>
      </tp>
      <tp t="s">
        <v>#N/A N/A</v>
        <stp/>
        <stp>##V3_BDPV12</stp>
        <stp>US194266AD47 mtge</stp>
        <stp>MTG WAL</stp>
        <stp>[GNMA Mtge Bonds &amp; Swap CF_generator_Mar2016.DUB.xlsm]Analysis - ignore!R44C10</stp>
        <stp xml:space="preserve">ALLOW_DYNAMIC_CASHFLOW_CALCS </stp>
        <stp>Y</stp>
        <stp>MTG PREPAY SPEED</stp>
        <stp>5</stp>
        <stp>MTG PREPAY TYP</stp>
        <stp>CPR</stp>
        <tr r="J44" s="1124"/>
      </tp>
      <tp>
        <v>0</v>
        <stp/>
        <stp>##V3_BDPV12</stp>
        <stp>US86800NAC48 mtge ISIN</stp>
        <stp>MTG FACTOR</stp>
        <stp>[GNMA Mtge Bonds &amp; Swap CF_generator_Mar2016.DUB.xlsm]Analysis - ignore!R187C17</stp>
        <tr r="Q187" s="1124"/>
      </tp>
      <tp t="s">
        <v>SLMA 2007-1 A6</v>
        <stp/>
        <stp>##V3_BDPV12</stp>
        <stp>US78443VAG77 mtge ISIN</stp>
        <stp>SECURITY DES</stp>
        <stp>[GNMA Mtge Bonds &amp; Swap CF_generator_Mar2016.DUB.xlsm]Analysis - ignore!R159C2</stp>
        <tr r="B159" s="1124"/>
      </tp>
      <tp t="s">
        <v>SCSLC 2006-1 A1</v>
        <stp/>
        <stp>##V3_BDPV12</stp>
        <stp>US83714RBA05 mtge ISIN</stp>
        <stp>SECURITY DES</stp>
        <stp>[GNMA Mtge Bonds &amp; Swap CF_generator_Mar2016.DUB.xlsm]Analysis - ignore!R184C2</stp>
        <tr r="B184" s="1124"/>
      </tp>
      <tp t="s">
        <v>1/25/2021</v>
        <stp/>
        <stp>##V3_BDPV12</stp>
        <stp>US78442GSD96 mtge ISIN</stp>
        <stp>Maturity</stp>
        <stp>[GNMA Mtge Bonds &amp; Swap CF_generator_Mar2016.DUB.xlsm]Analysis - ignore!R140C13</stp>
        <tr r="M140" s="1124"/>
      </tp>
      <tp t="s">
        <v>1/25/2041</v>
        <stp/>
        <stp>##V3_BDPV12</stp>
        <stp>US78442GSL13 mtge ISIN</stp>
        <stp>Maturity</stp>
        <stp>[GNMA Mtge Bonds &amp; Swap CF_generator_Mar2016.DUB.xlsm]Analysis - ignore!R143C13</stp>
        <tr r="M143" s="1124"/>
      </tp>
      <tp t="s">
        <v>10/27/2025</v>
        <stp/>
        <stp>##V3_BDPV12</stp>
        <stp>US78442GSK30 mtge ISIN</stp>
        <stp>Maturity</stp>
        <stp>[GNMA Mtge Bonds &amp; Swap CF_generator_Mar2016.DUB.xlsm]Analysis - ignore!R142C13</stp>
        <tr r="M142" s="1124"/>
      </tp>
      <tp t="s">
        <v>4/25/2023</v>
        <stp/>
        <stp>##V3_BDPV12</stp>
        <stp>US78442GSJ66 mtge ISIN</stp>
        <stp>Maturity</stp>
        <stp>[GNMA Mtge Bonds &amp; Swap CF_generator_Mar2016.DUB.xlsm]Analysis - ignore!R141C13</stp>
        <tr r="M141" s="1124"/>
      </tp>
      <tp t="s">
        <v>6/27/2022</v>
        <stp/>
        <stp>##V3_BDPV12</stp>
        <stp>US106238KS62 mtge ISIN</stp>
        <stp>Maturity</stp>
        <stp>[GNMA Mtge Bonds &amp; Swap CF_generator_Mar2016.DUB.xlsm]Analysis - ignore!R28C13</stp>
        <tr r="M28" s="1124"/>
      </tp>
      <tp t="s">
        <v>1/25/2027</v>
        <stp/>
        <stp>##V3_BDPV12</stp>
        <stp>US194262CR01 mtge ISIN</stp>
        <stp>Maturity</stp>
        <stp>[GNMA Mtge Bonds &amp; Swap CF_generator_Mar2016.DUB.xlsm]Analysis - ignore!R40C13</stp>
        <tr r="M40" s="1124"/>
      </tp>
      <tp t="s">
        <v>10/25/2030</v>
        <stp/>
        <stp>##V3_BDPV12</stp>
        <stp>US194262CL31 mtge ISIN</stp>
        <stp>Maturity</stp>
        <stp>[GNMA Mtge Bonds &amp; Swap CF_generator_Mar2016.DUB.xlsm]Analysis - ignore!R38C13</stp>
        <tr r="M38" s="1124"/>
      </tp>
      <tp>
        <v>0.81668189270000002</v>
        <stp/>
        <stp>##V3_BDPV12</stp>
        <stp>US78445FAC95 mtge ISIN</stp>
        <stp>MTG FACTOR</stp>
        <stp>[GNMA Mtge Bonds &amp; Swap CF_generator_Mar2016.DUB.xlsm]Analysis - ignore!R177C17</stp>
        <tr r="Q177" s="1124"/>
      </tp>
      <tp>
        <v>1</v>
        <stp/>
        <stp>##V3_BDPV12</stp>
        <stp>US66704JBV98 mtge ISIN</stp>
        <stp>MTG FACTOR</stp>
        <stp>[GNMA Mtge Bonds &amp; Swap CF_generator_Mar2016.DUB.xlsm]Analysis - ignore!R103C17</stp>
        <tr r="Q103" s="1124"/>
      </tp>
      <tp t="s">
        <v>#N/A N/A</v>
        <stp/>
        <stp>##V3_BDPV12</stp>
        <stp>US106238KS62 mtge</stp>
        <stp>MTG WAL</stp>
        <stp>[GNMA Mtge Bonds &amp; Swap CF_generator_Mar2016.DUB.xlsm]Analysis - ignore!R28C10</stp>
        <stp xml:space="preserve">ALLOW_DYNAMIC_CASHFLOW_CALCS </stp>
        <stp>Y</stp>
        <stp>MTG PREPAY SPEED</stp>
        <stp>100</stp>
        <stp>MTG PREPAY TYP</stp>
        <stp>PPC</stp>
        <tr r="J28" s="1124"/>
      </tp>
      <tp t="s">
        <v>#N/A N/A</v>
        <stp/>
        <stp>##V3_BDPV12</stp>
        <stp>US194266AB80 mtge</stp>
        <stp>MTG WAL</stp>
        <stp>[GNMA Mtge Bonds &amp; Swap CF_generator_Mar2016.DUB.xlsm]Analysis - ignore!R43C10</stp>
        <stp xml:space="preserve">ALLOW_DYNAMIC_CASHFLOW_CALCS </stp>
        <stp>Y</stp>
        <stp>MTG PREPAY SPEED</stp>
        <stp>5</stp>
        <stp>MTG PREPAY TYP</stp>
        <stp>CPR</stp>
        <tr r="J43" s="1124"/>
      </tp>
      <tp t="s">
        <v>6/16/2016</v>
        <stp/>
        <stp>##V3_BLP</stp>
        <stp>US38373MG611 Mtge</stp>
        <stp>prev_cpn_dt</stp>
        <stp>[GNMA Mtge Bonds &amp; Swap CF_generator_Mar2016.DUB.xlsm]ISINS_&amp;_SWAPS!R11C18</stp>
        <tr r="R11" s="20"/>
      </tp>
      <tp t="s">
        <v>6/16/2016</v>
        <stp/>
        <stp>##V3_BLP</stp>
        <stp>US38373MG611 Mtge</stp>
        <stp>prev_cpn_dt</stp>
        <stp>[GNMA Mtge Bonds &amp; Swap CF_generator_Mar2016.DUB.xlsm]ISINS_&amp;_SWAPS!R23C18</stp>
        <tr r="R23" s="20"/>
      </tp>
      <tp t="s">
        <v>6/16/2016</v>
        <stp/>
        <stp>##V3_BLP</stp>
        <stp>US38373MG611 Mtge</stp>
        <stp>prev_cpn_dt</stp>
        <stp>[GNMA Mtge Bonds &amp; Swap CF_generator_Mar2016.DUB.xlsm]ISINS_&amp;_SWAPS!R22C18</stp>
        <tr r="R22" s="20"/>
      </tp>
      <tp t="s">
        <v>1/25/2027</v>
        <stp/>
        <stp>##V3_BDPV12</stp>
        <stp>US78442GRQ19 mtge ISIN</stp>
        <stp>Maturity</stp>
        <stp>[GNMA Mtge Bonds &amp; Swap CF_generator_Mar2016.DUB.xlsm]Analysis - ignore!R138C13</stp>
        <tr r="M138" s="1124"/>
      </tp>
      <tp t="s">
        <v>1/25/2041</v>
        <stp/>
        <stp>##V3_BDPV12</stp>
        <stp>US78442GRX69 mtge ISIN</stp>
        <stp>Maturity</stp>
        <stp>[GNMA Mtge Bonds &amp; Swap CF_generator_Mar2016.DUB.xlsm]Analysis - ignore!R139C13</stp>
        <tr r="M139" s="1124"/>
      </tp>
      <tp t="s">
        <v>1/25/2041</v>
        <stp/>
        <stp>##V3_BDPV12</stp>
        <stp>US78442GRB40 mtge ISIN</stp>
        <stp>Maturity</stp>
        <stp>[GNMA Mtge Bonds &amp; Swap CF_generator_Mar2016.DUB.xlsm]Analysis - ignore!R136C13</stp>
        <tr r="M136" s="1124"/>
      </tp>
      <tp t="s">
        <v>7/25/2019</v>
        <stp/>
        <stp>##V3_BDPV12</stp>
        <stp>US78442GRN87 mtge ISIN</stp>
        <stp>Maturity</stp>
        <stp>[GNMA Mtge Bonds &amp; Swap CF_generator_Mar2016.DUB.xlsm]Analysis - ignore!R137C13</stp>
        <tr r="M137" s="1124"/>
      </tp>
      <tp>
        <v>1</v>
        <stp/>
        <stp>##V3_BDPV12</stp>
        <stp>US78444XAD93 mtge ISIN</stp>
        <stp>MTG FACTOR</stp>
        <stp>[GNMA Mtge Bonds &amp; Swap CF_generator_Mar2016.DUB.xlsm]Analysis - ignore!R171C17</stp>
        <tr r="Q171" s="1124"/>
      </tp>
      <tp>
        <v>0.71300911654100008</v>
        <stp/>
        <stp>##V3_BDPV12</stp>
        <stp>US78444AAD90 mtge ISIN</stp>
        <stp>MTG FACTOR</stp>
        <stp>[GNMA Mtge Bonds &amp; Swap CF_generator_Mar2016.DUB.xlsm]Analysis - ignore!R162C17</stp>
        <tr r="Q162" s="1124"/>
      </tp>
      <tp>
        <v>0.98692890680000001</v>
        <stp/>
        <stp>##V3_BDPV12</stp>
        <stp>US86800NAD21 mtge ISIN</stp>
        <stp>MTG FACTOR</stp>
        <stp>[GNMA Mtge Bonds &amp; Swap CF_generator_Mar2016.DUB.xlsm]Analysis - ignore!R188C17</stp>
        <tr r="Q188" s="1124"/>
      </tp>
      <tp t="s">
        <v>#N/A N/A</v>
        <stp/>
        <stp>##V3_BDPV12</stp>
        <stp>US462592AB29 mtge</stp>
        <stp>MTG WAL</stp>
        <stp>[GNMA Mtge Bonds &amp; Swap CF_generator_Mar2016.DUB.xlsm]Analysis - ignore!R70C10</stp>
        <stp xml:space="preserve">ALLOW_DYNAMIC_CASHFLOW_CALCS </stp>
        <stp>Y</stp>
        <stp>MTG PREPAY SPEED</stp>
        <stp>0</stp>
        <stp>MTG PREPAY TYP</stp>
        <stp>CPR</stp>
        <tr r="J70" s="1124"/>
      </tp>
      <tp t="s">
        <v>6/16/2016</v>
        <stp/>
        <stp>##V3_BLP</stp>
        <stp>US38373MK746 Mtge</stp>
        <stp>prev_cpn_dt</stp>
        <stp>[GNMA Mtge Bonds &amp; Swap CF_generator_Mar2016.DUB.xlsm]ISINS_&amp;_SWAPS!R25C18</stp>
        <tr r="R25" s="20"/>
      </tp>
      <tp t="s">
        <v>6/16/2016</v>
        <stp/>
        <stp>##V3_BLP</stp>
        <stp>US38373MK746 Mtge</stp>
        <stp>prev_cpn_dt</stp>
        <stp>[GNMA Mtge Bonds &amp; Swap CF_generator_Mar2016.DUB.xlsm]ISINS_&amp;_SWAPS!R24C18</stp>
        <tr r="R24" s="20"/>
      </tp>
      <tp t="s">
        <v>6/16/2016</v>
        <stp/>
        <stp>##V3_BLP</stp>
        <stp>US38373MK746 Mtge</stp>
        <stp>prev_cpn_dt</stp>
        <stp>[GNMA Mtge Bonds &amp; Swap CF_generator_Mar2016.DUB.xlsm]ISINS_&amp;_SWAPS!R12C18</stp>
        <tr r="R12" s="20"/>
      </tp>
      <tp t="s">
        <v>SLMA 2007-1 A5</v>
        <stp/>
        <stp>##V3_BDPV12</stp>
        <stp>US78443VAE20 mtge ISIN</stp>
        <stp>SECURITY DES</stp>
        <stp>[GNMA Mtge Bonds &amp; Swap CF_generator_Mar2016.DUB.xlsm]Analysis - ignore!R158C2</stp>
        <tr r="B158" s="1124"/>
      </tp>
      <tp t="s">
        <v>1/25/2040</v>
        <stp/>
        <stp>##V3_BDPV12</stp>
        <stp>US78442GQS83 mtge ISIN</stp>
        <stp>Maturity</stp>
        <stp>[GNMA Mtge Bonds &amp; Swap CF_generator_Mar2016.DUB.xlsm]Analysis - ignore!R135C13</stp>
        <tr r="M135" s="1124"/>
      </tp>
      <tp t="s">
        <v>4/25/2022</v>
        <stp/>
        <stp>##V3_BDPV12</stp>
        <stp>US78442GQG46 mtge ISIN</stp>
        <stp>Maturity</stp>
        <stp>[GNMA Mtge Bonds &amp; Swap CF_generator_Mar2016.DUB.xlsm]Analysis - ignore!R133C13</stp>
        <tr r="M133" s="1124"/>
      </tp>
      <tp t="s">
        <v>1/25/2044</v>
        <stp/>
        <stp>##V3_BDPV12</stp>
        <stp>US78442GQE97 mtge ISIN</stp>
        <stp>Maturity</stp>
        <stp>[GNMA Mtge Bonds &amp; Swap CF_generator_Mar2016.DUB.xlsm]Analysis - ignore!R132C13</stp>
        <tr r="M132" s="1124"/>
      </tp>
      <tp t="s">
        <v>10/25/2029</v>
        <stp/>
        <stp>##V3_BDPV12</stp>
        <stp>US78442GQJ84 mtge ISIN</stp>
        <stp>Maturity</stp>
        <stp>[GNMA Mtge Bonds &amp; Swap CF_generator_Mar2016.DUB.xlsm]Analysis - ignore!R134C13</stp>
        <tr r="M134" s="1124"/>
      </tp>
      <tp t="s">
        <v>10/1/2005</v>
        <stp/>
        <stp>##V3_BLP</stp>
        <stp>US38374MEF23 Mtge</stp>
        <stp>issue_dt</stp>
        <stp>[GNMA Mtge Bonds &amp; Swap CF_generator_Mar2016.DUB.xlsm]ISINS_&amp;_SWAPS!R9C12</stp>
        <tr r="L9" s="20"/>
      </tp>
      <tp t="s">
        <v>1/15/2037</v>
        <stp/>
        <stp>##V3_BDPV12</stp>
        <stp>US194266AD47 mtge ISIN</stp>
        <stp>Maturity</stp>
        <stp>[GNMA Mtge Bonds &amp; Swap CF_generator_Mar2016.DUB.xlsm]Analysis - ignore!R44C13</stp>
        <tr r="M44" s="1124"/>
      </tp>
      <tp t="s">
        <v>7/25/2028</v>
        <stp/>
        <stp>##V3_BDPV12</stp>
        <stp>US194262CS83 mtge ISIN</stp>
        <stp>Maturity</stp>
        <stp>[GNMA Mtge Bonds &amp; Swap CF_generator_Mar2016.DUB.xlsm]Analysis - ignore!R41C13</stp>
        <tr r="M41" s="1124"/>
      </tp>
      <tp t="s">
        <v>#N/A N/A</v>
        <stp/>
        <stp>##V3_BDPV12</stp>
        <stp>US340640AE18 mtge</stp>
        <stp>MTG WAL</stp>
        <stp>[GNMA Mtge Bonds &amp; Swap CF_generator_Mar2016.DUB.xlsm]Analysis - ignore!R52C10</stp>
        <stp xml:space="preserve">ALLOW_DYNAMIC_CASHFLOW_CALCS </stp>
        <stp>Y</stp>
        <stp>MTG PREPAY SPEED</stp>
        <stp>0</stp>
        <stp>MTG PREPAY TYP</stp>
        <stp>CPR</stp>
        <tr r="J52" s="1124"/>
      </tp>
      <tp>
        <v>0.90631677960000001</v>
        <stp/>
        <stp>##V3_BDPV12</stp>
        <stp>US83149FAC86 mtge ISIN</stp>
        <stp>MTG FACTOR</stp>
        <stp>[GNMA Mtge Bonds &amp; Swap CF_generator_Mar2016.DUB.xlsm]Analysis - ignore!R181C17</stp>
        <tr r="Q181" s="1124"/>
      </tp>
      <tp t="s">
        <v>SLMA 2007-3 A4</v>
        <stp/>
        <stp>##V3_BDPV12</stp>
        <stp>US78443YAD85 mtge ISIN</stp>
        <stp>SECURITY DES</stp>
        <stp>[GNMA Mtge Bonds &amp; Swap CF_generator_Mar2016.DUB.xlsm]Analysis - ignore!R161C2</stp>
        <tr r="B161" s="1124"/>
      </tp>
      <tp t="s">
        <v>1/25/2027</v>
        <stp/>
        <stp>##V3_BDPV12</stp>
        <stp>US78442GPG54 mtge ISIN</stp>
        <stp>Maturity</stp>
        <stp>[GNMA Mtge Bonds &amp; Swap CF_generator_Mar2016.DUB.xlsm]Analysis - ignore!R130C13</stp>
        <tr r="M130" s="1124"/>
      </tp>
      <tp t="s">
        <v>7/25/2040</v>
        <stp/>
        <stp>##V3_BDPV12</stp>
        <stp>US78442GPH38 mtge ISIN</stp>
        <stp>Maturity</stp>
        <stp>[GNMA Mtge Bonds &amp; Swap CF_generator_Mar2016.DUB.xlsm]Analysis - ignore!R131C13</stp>
        <tr r="M131" s="1124"/>
      </tp>
      <tp>
        <v>0.79599999999999993</v>
        <stp/>
        <stp>##V3_BDPV12</stp>
        <stp>US90342NAY31 mtge ISIN</stp>
        <stp>MTG FACTOR</stp>
        <stp>[GNMA Mtge Bonds &amp; Swap CF_generator_Mar2016.DUB.xlsm]Analysis - ignore!R190C17</stp>
        <tr r="Q190" s="1124"/>
      </tp>
      <tp t="s">
        <v>#N/A N/A</v>
        <stp/>
        <stp>##V3_BDPV12</stp>
        <stp>US280907BW52 mtge</stp>
        <stp>MTG WAL</stp>
        <stp>[GNMA Mtge Bonds &amp; Swap CF_generator_Mar2016.DUB.xlsm]Analysis - ignore!R51C10</stp>
        <stp xml:space="preserve">ALLOW_DYNAMIC_CASHFLOW_CALCS </stp>
        <stp>Y</stp>
        <stp>MTG PREPAY SPEED</stp>
        <stp>0</stp>
        <stp>MTG PREPAY TYP</stp>
        <stp>CPR</stp>
        <tr r="J51" s="1124"/>
      </tp>
      <tp t="s">
        <v>#N/A N/A</v>
        <stp/>
        <stp>##V3_BDPV12</stp>
        <stp>US10620NAP33 mtge</stp>
        <stp>MTG WAL</stp>
        <stp>[GNMA Mtge Bonds &amp; Swap CF_generator_Mar2016.DUB.xlsm]Analysis - ignore!R26C10</stp>
        <stp xml:space="preserve">ALLOW_DYNAMIC_CASHFLOW_CALCS </stp>
        <stp>Y</stp>
        <stp>MTG PREPAY SPEED</stp>
        <stp>100</stp>
        <stp>MTG PREPAY TYP</stp>
        <stp>PPC</stp>
        <tr r="J26" s="1124"/>
      </tp>
      <tp>
        <v>0</v>
        <stp/>
        <stp>##V3_BDPV12</stp>
        <stp>US90342NAB38 mtge ISIN</stp>
        <stp>MTG FACTOR</stp>
        <stp>[GNMA Mtge Bonds &amp; Swap CF_generator_Mar2016.DUB.xlsm]Analysis - ignore!R189C17</stp>
        <tr r="Q189" s="1124"/>
      </tp>
      <tp t="s">
        <v>NSLT 2005-4 A2</v>
        <stp/>
        <stp>##V3_BDPV12</stp>
        <stp>US64031QCG47 mtge ISIN</stp>
        <stp>SECURITY DES</stp>
        <stp>[GNMA Mtge Bonds &amp; Swap CF_generator_Mar2016.DUB.xlsm]Analysis - ignore!R206C2</stp>
        <tr r="B206" s="1124"/>
      </tp>
      <tp t="s">
        <v>SCSLC 2005 A1</v>
        <stp/>
        <stp>##V3_BDPV12</stp>
        <stp>US83714RAX17 mtge ISIN</stp>
        <stp>SECURITY DES</stp>
        <stp>[GNMA Mtge Bonds &amp; Swap CF_generator_Mar2016.DUB.xlsm]Analysis - ignore!R182C2</stp>
        <tr r="B182" s="1124"/>
      </tp>
      <tp t="s">
        <v>SLMA 2007-8 A5</v>
        <stp/>
        <stp>##V3_BDPV12</stp>
        <stp>US78444XAE76 mtge ISIN</stp>
        <stp>SECURITY DES</stp>
        <stp>[GNMA Mtge Bonds &amp; Swap CF_generator_Mar2016.DUB.xlsm]Analysis - ignore!R172C2</stp>
        <tr r="B172" s="1124"/>
      </tp>
      <tp t="s">
        <v>GNR 2005-90 B</v>
        <stp/>
        <stp>##V3_BLP</stp>
        <stp>US38373MSC54 Mtge</stp>
        <stp>Name</stp>
        <stp>[GNMA Mtge Bonds &amp; Swap CF_generator_Mar2016.DUB.xlsm]ISINS_&amp;_SWAPS!R20C9</stp>
        <tr r="I20" s="20"/>
      </tp>
      <tp t="s">
        <v>GNR 2005-90 B</v>
        <stp/>
        <stp>##V3_BLP</stp>
        <stp>US38373MSC54 Mtge</stp>
        <stp>Name</stp>
        <stp>[GNMA Mtge Bonds &amp; Swap CF_generator_Mar2016.DUB.xlsm]ISINS_&amp;_SWAPS!R10C9</stp>
        <tr r="I10" s="20"/>
      </tp>
      <tp t="s">
        <v>6/1/2016</v>
        <stp/>
        <stp>##V3_BLP</stp>
        <stp>US38373MG611 Mtge</stp>
        <stp>SETTLE_DT</stp>
        <stp>[GNMA Mtge Bonds &amp; Swap CF_generator_Mar2016.DUB.xlsm]ISINS_&amp;_SWAPS!R11C13</stp>
        <tr r="M11" s="20"/>
      </tp>
      <tp t="s">
        <v>6/1/2016</v>
        <stp/>
        <stp>##V3_BLP</stp>
        <stp>US38373MG611 Mtge</stp>
        <stp>SETTLE_DT</stp>
        <stp>[GNMA Mtge Bonds &amp; Swap CF_generator_Mar2016.DUB.xlsm]ISINS_&amp;_SWAPS!R22C13</stp>
        <tr r="M22" s="20"/>
      </tp>
      <tp t="s">
        <v>6/1/2016</v>
        <stp/>
        <stp>##V3_BLP</stp>
        <stp>US38373MG611 Mtge</stp>
        <stp>SETTLE_DT</stp>
        <stp>[GNMA Mtge Bonds &amp; Swap CF_generator_Mar2016.DUB.xlsm]ISINS_&amp;_SWAPS!R23C13</stp>
        <tr r="M23" s="20"/>
      </tp>
      <tp t="s">
        <v>SLMA 2005-4 A3</v>
        <stp/>
        <stp>##V3_BDPV12</stp>
        <stp>US78442GPG54 mtge ISIN</stp>
        <stp>SECURITY DES</stp>
        <stp>[GNMA Mtge Bonds &amp; Swap CF_generator_Mar2016.DUB.xlsm]Analysis - ignore!R130C2</stp>
        <tr r="B130" s="1124"/>
      </tp>
      <tp t="s">
        <v>SLMA 2006-10 A6</v>
        <stp/>
        <stp>##V3_BDPV12</stp>
        <stp>US78443BAG14 mtge ISIN</stp>
        <stp>SECURITY DES</stp>
        <stp>[GNMA Mtge Bonds &amp; Swap CF_generator_Mar2016.DUB.xlsm]Analysis - ignore!R145C2</stp>
        <tr r="B145" s="1124"/>
      </tp>
      <tp t="s">
        <v>SLMA 2007-4 A4A</v>
        <stp/>
        <stp>##V3_BDPV12</stp>
        <stp>US78444AAD90 mtge ISIN</stp>
        <stp>SECURITY DES</stp>
        <stp>[GNMA Mtge Bonds &amp; Swap CF_generator_Mar2016.DUB.xlsm]Analysis - ignore!R162C2</stp>
        <tr r="B162" s="1124"/>
      </tp>
      <tp t="s">
        <v>SLMA 2007-7 A4</v>
        <stp/>
        <stp>##V3_BDPV12</stp>
        <stp>US78444EAD13 mtge ISIN</stp>
        <stp>SECURITY DES</stp>
        <stp>[GNMA Mtge Bonds &amp; Swap CF_generator_Mar2016.DUB.xlsm]Analysis - ignore!R165C2</stp>
        <tr r="B165" s="1124"/>
      </tp>
      <tp t="s">
        <v>SLMA 2006-10 A4</v>
        <stp/>
        <stp>##V3_BDPV12</stp>
        <stp>US78443BAE65 mtge ISIN</stp>
        <stp>SECURITY DES</stp>
        <stp>[GNMA Mtge Bonds &amp; Swap CF_generator_Mar2016.DUB.xlsm]Analysis - ignore!R144C2</stp>
        <tr r="B144" s="1124"/>
      </tp>
      <tp t="s">
        <v>SLMA 2008-7 A2</v>
        <stp/>
        <stp>##V3_BDPV12</stp>
        <stp>US78445FAB13 mtge ISIN</stp>
        <stp>SECURITY DES</stp>
        <stp>[GNMA Mtge Bonds &amp; Swap CF_generator_Mar2016.DUB.xlsm]Analysis - ignore!R176C2</stp>
        <tr r="B176" s="1124"/>
      </tp>
      <tp t="s">
        <v>SLCLT 2008-2 A2</v>
        <stp/>
        <stp>##V3_BDPV12</stp>
        <stp>US78444NAB55 mtge ISIN</stp>
        <stp>SECURITY DES</stp>
        <stp>[GNMA Mtge Bonds &amp; Swap CF_generator_Mar2016.DUB.xlsm]Analysis - ignore!R168C2</stp>
        <tr r="B168" s="1124"/>
      </tp>
      <tp t="s">
        <v>SLMA 2008-7 A1</v>
        <stp/>
        <stp>##V3_BDPV12</stp>
        <stp>US78445FAA30 mtge ISIN</stp>
        <stp>SECURITY DES</stp>
        <stp>[GNMA Mtge Bonds &amp; Swap CF_generator_Mar2016.DUB.xlsm]Analysis - ignore!R175C2</stp>
        <tr r="B175" s="1124"/>
      </tp>
      <tp t="s">
        <v>NEF 2005-1 A4</v>
        <stp/>
        <stp>##V3_BDPV12</stp>
        <stp>US66704JBH05 mtge ISIN</stp>
        <stp>SECURITY DES</stp>
        <stp>[GNMA Mtge Bonds &amp; Swap CF_generator_Mar2016.DUB.xlsm]Analysis - ignore!R102C2</stp>
        <tr r="B102" s="1124"/>
      </tp>
      <tp t="s">
        <v>4/27/2020</v>
        <stp/>
        <stp>##V3_BDPV12</stp>
        <stp>US78442GNV40 mtge ISIN</stp>
        <stp>Maturity</stp>
        <stp>[GNMA Mtge Bonds &amp; Swap CF_generator_Mar2016.DUB.xlsm]Analysis - ignore!R129C13</stp>
        <tr r="M129" s="1124"/>
      </tp>
      <tp t="s">
        <v>4/25/2017</v>
        <stp/>
        <stp>##V3_BDPV12</stp>
        <stp>US78442GNU66 mtge ISIN</stp>
        <stp>Maturity</stp>
        <stp>[GNMA Mtge Bonds &amp; Swap CF_generator_Mar2016.DUB.xlsm]Analysis - ignore!R128C13</stp>
        <tr r="M128" s="1124"/>
      </tp>
      <tp t="s">
        <v>GNR 2005-90 B</v>
        <stp/>
        <stp>##V3_BLP</stp>
        <stp>US38373MSC54 Mtge</stp>
        <stp>Name</stp>
        <stp>[GNMA Mtge Bonds &amp; Swap CF_generator_Mar2016.DUB.xlsm]ISINS_&amp;_SWAPS!R21C9</stp>
        <tr r="I21" s="20"/>
      </tp>
      <tp t="s">
        <v>4/27/2020</v>
        <stp/>
        <stp>##V3_BDPV12</stp>
        <stp>US78442GNP71 mtge ISIN</stp>
        <stp>Maturity</stp>
        <stp>[GNMA Mtge Bonds &amp; Swap CF_generator_Mar2016.DUB.xlsm]Analysis - ignore!R127C13</stp>
        <tr r="M127" s="1124"/>
      </tp>
      <tp t="s">
        <v>10/25/2016</v>
        <stp/>
        <stp>##V3_BDPV12</stp>
        <stp>US78442GNC68 mtge ISIN</stp>
        <stp>Maturity</stp>
        <stp>[GNMA Mtge Bonds &amp; Swap CF_generator_Mar2016.DUB.xlsm]Analysis - ignore!R126C13</stp>
        <tr r="M126" s="1124"/>
      </tp>
      <tp t="s">
        <v>#N/A N/A</v>
        <stp/>
        <stp>##V3_BDPV12</stp>
        <stp>US10620NAN84 mtge</stp>
        <stp>MTG WAL</stp>
        <stp>[GNMA Mtge Bonds &amp; Swap CF_generator_Mar2016.DUB.xlsm]Analysis - ignore!R25C10</stp>
        <stp xml:space="preserve">ALLOW_DYNAMIC_CASHFLOW_CALCS </stp>
        <stp>Y</stp>
        <stp>MTG PREPAY SPEED</stp>
        <stp>100</stp>
        <stp>MTG PREPAY TYP</stp>
        <stp>PPC</stp>
        <tr r="J25" s="1124"/>
      </tp>
      <tp t="s">
        <v>SLMA 2005-7 A2</v>
        <stp/>
        <stp>##V3_BDPV12</stp>
        <stp>US78442GQG46 mtge ISIN</stp>
        <stp>SECURITY DES</stp>
        <stp>[GNMA Mtge Bonds &amp; Swap CF_generator_Mar2016.DUB.xlsm]Analysis - ignore!R133C2</stp>
        <tr r="B133" s="1124"/>
      </tp>
      <tp t="s">
        <v>SLMA 2005-6 A7</v>
        <stp/>
        <stp>##V3_BDPV12</stp>
        <stp>US78442GQE97 mtge ISIN</stp>
        <stp>SECURITY DES</stp>
        <stp>[GNMA Mtge Bonds &amp; Swap CF_generator_Mar2016.DUB.xlsm]Analysis - ignore!R132C2</stp>
        <tr r="B132" s="1124"/>
      </tp>
      <tp t="s">
        <v>STSLT 2006-1A A2</v>
        <stp/>
        <stp>##V3_BDPV12</stp>
        <stp>US86800NAB64 mtge ISIN</stp>
        <stp>SECURITY DES</stp>
        <stp>[GNMA Mtge Bonds &amp; Swap CF_generator_Mar2016.DUB.xlsm]Analysis - ignore!R186C2</stp>
        <tr r="B186" s="1124"/>
      </tp>
      <tp t="s">
        <v>SLMA 2004-1 A4</v>
        <stp/>
        <stp>##V3_BDPV12</stp>
        <stp>US78442GKT21 mtge ISIN</stp>
        <stp>SECURITY DES</stp>
        <stp>[GNMA Mtge Bonds &amp; Swap CF_generator_Mar2016.DUB.xlsm]Analysis - ignore!R124C2</stp>
        <tr r="B124" s="1124"/>
      </tp>
      <tp t="s">
        <v>6/22/2016</v>
        <stp/>
        <stp>##V3_BDPV12</stp>
        <stp>US00432CCF68 mtge</stp>
        <stp xml:space="preserve">MTG_NXT_PAY_DT_SET_DT </stp>
        <stp>[GNMA Mtge Bonds &amp; Swap CF_generator_Mar2016.DUB.xlsm]Analysis - ignore!R9C11</stp>
        <tr r="K9" s="1124"/>
      </tp>
      <tp t="s">
        <v>4/25/2017</v>
        <stp/>
        <stp>##V3_BDPV12</stp>
        <stp>US78442GMX15 mtge ISIN</stp>
        <stp>Maturity</stp>
        <stp>[GNMA Mtge Bonds &amp; Swap CF_generator_Mar2016.DUB.xlsm]Analysis - ignore!R125C13</stp>
        <tr r="M125" s="1124"/>
      </tp>
      <tp t="s">
        <v>1/30/2023</v>
        <stp/>
        <stp>##V3_BDPV12</stp>
        <stp>US86800NAC48 mtge ISIN</stp>
        <stp>Maturity</stp>
        <stp>[GNMA Mtge Bonds &amp; Swap CF_generator_Mar2016.DUB.xlsm]Analysis - ignore!R187C13</stp>
        <tr r="M187" s="1124"/>
      </tp>
      <tp t="s">
        <v>7/28/2020</v>
        <stp/>
        <stp>##V3_BDPV12</stp>
        <stp>US86800NAB64 mtge ISIN</stp>
        <stp>Maturity</stp>
        <stp>[GNMA Mtge Bonds &amp; Swap CF_generator_Mar2016.DUB.xlsm]Analysis - ignore!R186C13</stp>
        <tr r="M186" s="1124"/>
      </tp>
      <tp t="s">
        <v>7/25/2024</v>
        <stp/>
        <stp>##V3_BDPV12</stp>
        <stp>US708788AB03 mtge ISIN</stp>
        <stp>Maturity</stp>
        <stp>[GNMA Mtge Bonds &amp; Swap CF_generator_Mar2016.DUB.xlsm]Analysis - ignore!R104C13</stp>
        <tr r="M104" s="1124"/>
      </tp>
      <tp t="s">
        <v>10/28/2037</v>
        <stp/>
        <stp>##V3_BDPV12</stp>
        <stp>US86800NAD21 mtge ISIN</stp>
        <stp>Maturity</stp>
        <stp>[GNMA Mtge Bonds &amp; Swap CF_generator_Mar2016.DUB.xlsm]Analysis - ignore!R188C13</stp>
        <tr r="M188" s="1124"/>
      </tp>
      <tp t="s">
        <v>10/25/2035</v>
        <stp/>
        <stp>##V3_BDPV12</stp>
        <stp>US708788AC85 mtge ISIN</stp>
        <stp>Maturity</stp>
        <stp>[GNMA Mtge Bonds &amp; Swap CF_generator_Mar2016.DUB.xlsm]Analysis - ignore!R105C13</stp>
        <tr r="M105" s="1124"/>
      </tp>
      <tp t="s">
        <v>6/1/2016</v>
        <stp/>
        <stp>##V3_BLP</stp>
        <stp>US38374MEF23 Mtge</stp>
        <stp>SETTLE_DT</stp>
        <stp>[GNMA Mtge Bonds &amp; Swap CF_generator_Mar2016.DUB.xlsm]ISINS_&amp;_SWAPS!R18C13</stp>
        <tr r="M18" s="20"/>
      </tp>
      <tp t="s">
        <v>6/1/2016</v>
        <stp/>
        <stp>##V3_BLP</stp>
        <stp>US38374MEF23 Mtge</stp>
        <stp>SETTLE_DT</stp>
        <stp>[GNMA Mtge Bonds &amp; Swap CF_generator_Mar2016.DUB.xlsm]ISINS_&amp;_SWAPS!R19C13</stp>
        <tr r="M19" s="20"/>
      </tp>
      <tp t="s">
        <v>SLMA 2006-3 A5</v>
        <stp/>
        <stp>##V3_BDPV12</stp>
        <stp>US78442GSD96 mtge ISIN</stp>
        <stp>SECURITY DES</stp>
        <stp>[GNMA Mtge Bonds &amp; Swap CF_generator_Mar2016.DUB.xlsm]Analysis - ignore!R140C2</stp>
        <tr r="B140" s="1124"/>
      </tp>
      <tp t="s">
        <v>SLMA 2005-9 A7B</v>
        <stp/>
        <stp>##V3_BDPV12</stp>
        <stp>US78442GRB40 mtge ISIN</stp>
        <stp>SECURITY DES</stp>
        <stp>[GNMA Mtge Bonds &amp; Swap CF_generator_Mar2016.DUB.xlsm]Analysis - ignore!R136C2</stp>
        <tr r="B136" s="1124"/>
      </tp>
      <tp t="s">
        <v>SLMA 2005-8 A5</v>
        <stp/>
        <stp>##V3_BDPV12</stp>
        <stp>US78442GQS83 mtge ISIN</stp>
        <stp>SECURITY DES</stp>
        <stp>[GNMA Mtge Bonds &amp; Swap CF_generator_Mar2016.DUB.xlsm]Analysis - ignore!R135C2</stp>
        <tr r="B135" s="1124"/>
      </tp>
      <tp t="s">
        <v>SLMA 2005-1 A2</v>
        <stp/>
        <stp>##V3_BDPV12</stp>
        <stp>US78442GNP71 mtge ISIN</stp>
        <stp>SECURITY DES</stp>
        <stp>[GNMA Mtge Bonds &amp; Swap CF_generator_Mar2016.DUB.xlsm]Analysis - ignore!R127C2</stp>
        <tr r="B127" s="1124"/>
      </tp>
      <tp t="s">
        <v>WSLT 2006-1 A6</v>
        <stp/>
        <stp>##V3_BDPV12</stp>
        <stp>US92978JAF03 mtge ISIN</stp>
        <stp>SECURITY DES</stp>
        <stp>[GNMA Mtge Bonds &amp; Swap CF_generator_Mar2016.DUB.xlsm]Analysis - ignore!R192C2</stp>
        <tr r="B192" s="1124"/>
      </tp>
      <tp t="s">
        <v>SLMA 2007-4 A5</v>
        <stp/>
        <stp>##V3_BDPV12</stp>
        <stp>US78444AAE73 mtge ISIN</stp>
        <stp>SECURITY DES</stp>
        <stp>[GNMA Mtge Bonds &amp; Swap CF_generator_Mar2016.DUB.xlsm]Analysis - ignore!R163C2</stp>
        <tr r="B163" s="1124"/>
      </tp>
      <tp t="s">
        <v>2/25/2032</v>
        <stp/>
        <stp>##V3_BDPV12</stp>
        <stp>US429827AX60 mtge ISIN</stp>
        <stp>Maturity</stp>
        <stp>[GNMA Mtge Bonds &amp; Swap CF_generator_Mar2016.DUB.xlsm]Analysis - ignore!R204C13</stp>
        <tr r="M204" s="1124"/>
      </tp>
      <tp t="s">
        <v>2/25/2024</v>
        <stp/>
        <stp>##V3_BDPV12</stp>
        <stp>US429827AU22 mtge ISIN</stp>
        <stp>Maturity</stp>
        <stp>[GNMA Mtge Bonds &amp; Swap CF_generator_Mar2016.DUB.xlsm]Analysis - ignore!R201C13</stp>
        <tr r="M201" s="1124"/>
      </tp>
      <tp t="s">
        <v>2/25/2025</v>
        <stp/>
        <stp>##V3_BDPV12</stp>
        <stp>US429827AV05 mtge ISIN</stp>
        <stp>Maturity</stp>
        <stp>[GNMA Mtge Bonds &amp; Swap CF_generator_Mar2016.DUB.xlsm]Analysis - ignore!R202C13</stp>
        <tr r="M202" s="1124"/>
      </tp>
      <tp t="s">
        <v>2/25/2030</v>
        <stp/>
        <stp>##V3_BDPV12</stp>
        <stp>US429827AW87 mtge ISIN</stp>
        <stp>Maturity</stp>
        <stp>[GNMA Mtge Bonds &amp; Swap CF_generator_Mar2016.DUB.xlsm]Analysis - ignore!R203C13</stp>
        <tr r="M203" s="1124"/>
      </tp>
      <tp t="s">
        <v>7/26/2027</v>
        <stp/>
        <stp>##V3_BDPV12</stp>
        <stp>US92978JAE38 mtge ISIN</stp>
        <stp>Maturity</stp>
        <stp>[GNMA Mtge Bonds &amp; Swap CF_generator_Mar2016.DUB.xlsm]Analysis - ignore!R191C13</stp>
        <tr r="M191" s="1124"/>
      </tp>
      <tp t="s">
        <v>4/25/2040</v>
        <stp/>
        <stp>##V3_BDPV12</stp>
        <stp>US92978JAF03 mtge ISIN</stp>
        <stp>Maturity</stp>
        <stp>[GNMA Mtge Bonds &amp; Swap CF_generator_Mar2016.DUB.xlsm]Analysis - ignore!R192C13</stp>
        <tr r="M192" s="1124"/>
      </tp>
      <tp t="s">
        <v>SLMA 2006-4 A4</v>
        <stp/>
        <stp>##V3_BDPV12</stp>
        <stp>US78442GSJ66 mtge ISIN</stp>
        <stp>SECURITY DES</stp>
        <stp>[GNMA Mtge Bonds &amp; Swap CF_generator_Mar2016.DUB.xlsm]Analysis - ignore!R141C2</stp>
        <tr r="B141" s="1124"/>
      </tp>
      <tp t="s">
        <v>SLMA 2006-5 A5</v>
        <stp/>
        <stp>##V3_BDPV12</stp>
        <stp>US83149EAE77 mtge ISIN</stp>
        <stp>SECURITY DES</stp>
        <stp>[GNMA Mtge Bonds &amp; Swap CF_generator_Mar2016.DUB.xlsm]Analysis - ignore!R179C2</stp>
        <tr r="B179" s="1124"/>
      </tp>
      <tp t="s">
        <v>SLMA 2006-8 A3</v>
        <stp/>
        <stp>##V3_BDPV12</stp>
        <stp>US78443HAC79 mtge ISIN</stp>
        <stp>SECURITY DES</stp>
        <stp>[GNMA Mtge Bonds &amp; Swap CF_generator_Mar2016.DUB.xlsm]Analysis - ignore!R151C2</stp>
        <tr r="B151" s="1124"/>
      </tp>
      <tp t="s">
        <v>10/27/2025</v>
        <stp/>
        <stp>##V3_BDPV12</stp>
        <stp>US78442GKT21 mtge ISIN</stp>
        <stp>Maturity</stp>
        <stp>[GNMA Mtge Bonds &amp; Swap CF_generator_Mar2016.DUB.xlsm]Analysis - ignore!R124C13</stp>
        <tr r="M124" s="1124"/>
      </tp>
      <tp t="s">
        <v>9/15/2022</v>
        <stp/>
        <stp>##V3_BDPV12</stp>
        <stp>US78442GKE51 mtge ISIN</stp>
        <stp>Maturity</stp>
        <stp>[GNMA Mtge Bonds &amp; Swap CF_generator_Mar2016.DUB.xlsm]Analysis - ignore!R123C13</stp>
        <tr r="M123" s="1124"/>
      </tp>
      <tp t="s">
        <v>SLMA 2006-4 B</v>
        <stp/>
        <stp>##V3_BDPV12</stp>
        <stp>US78442GSL13 mtge ISIN</stp>
        <stp>SECURITY DES</stp>
        <stp>[GNMA Mtge Bonds &amp; Swap CF_generator_Mar2016.DUB.xlsm]Analysis - ignore!R143C2</stp>
        <tr r="B143" s="1124"/>
      </tp>
      <tp t="s">
        <v>SLMA 2006-1 A4</v>
        <stp/>
        <stp>##V3_BDPV12</stp>
        <stp>US78442GRN87 mtge ISIN</stp>
        <stp>SECURITY DES</stp>
        <stp>[GNMA Mtge Bonds &amp; Swap CF_generator_Mar2016.DUB.xlsm]Analysis - ignore!R137C2</stp>
        <tr r="B137" s="1124"/>
      </tp>
      <tp t="s">
        <v>SLMA 2006-2 A6</v>
        <stp/>
        <stp>##V3_BDPV12</stp>
        <stp>US78442GRX69 mtge ISIN</stp>
        <stp>SECURITY DES</stp>
        <stp>[GNMA Mtge Bonds &amp; Swap CF_generator_Mar2016.DUB.xlsm]Analysis - ignore!R139C2</stp>
        <tr r="B139" s="1124"/>
      </tp>
      <tp t="s">
        <v>SLMA 2005-7 A4</v>
        <stp/>
        <stp>##V3_BDPV12</stp>
        <stp>US78442GQJ84 mtge ISIN</stp>
        <stp>SECURITY DES</stp>
        <stp>[GNMA Mtge Bonds &amp; Swap CF_generator_Mar2016.DUB.xlsm]Analysis - ignore!R134C2</stp>
        <tr r="B134" s="1124"/>
      </tp>
      <tp t="s">
        <v>SLMA 2004-9 A4</v>
        <stp/>
        <stp>##V3_BDPV12</stp>
        <stp>US78442GMX15 mtge ISIN</stp>
        <stp>SECURITY DES</stp>
        <stp>[GNMA Mtge Bonds &amp; Swap CF_generator_Mar2016.DUB.xlsm]Analysis - ignore!R125C2</stp>
        <tr r="B125" s="1124"/>
      </tp>
      <tp t="s">
        <v>USEDU 2006-1 A2</v>
        <stp/>
        <stp>##V3_BDPV12</stp>
        <stp>US90342NAB38 mtge ISIN</stp>
        <stp>SECURITY DES</stp>
        <stp>[GNMA Mtge Bonds &amp; Swap CF_generator_Mar2016.DUB.xlsm]Analysis - ignore!R189C2</stp>
        <tr r="B189" s="1124"/>
      </tp>
      <tp t="s">
        <v>USEDU 2007-1A 1A4</v>
        <stp/>
        <stp>##V3_BDPV12</stp>
        <stp>US90342NAY31 mtge ISIN</stp>
        <stp>SECURITY DES</stp>
        <stp>[GNMA Mtge Bonds &amp; Swap CF_generator_Mar2016.DUB.xlsm]Analysis - ignore!R190C2</stp>
        <tr r="B190" s="1124"/>
      </tp>
      <tp t="s">
        <v>SLMA 2006-5 A6A</v>
        <stp/>
        <stp>##V3_BDPV12</stp>
        <stp>US83149EAH09 mtge ISIN</stp>
        <stp>SECURITY DES</stp>
        <stp>[GNMA Mtge Bonds &amp; Swap CF_generator_Mar2016.DUB.xlsm]Analysis - ignore!R180C2</stp>
        <tr r="B180" s="1124"/>
      </tp>
      <tp t="s">
        <v>SLMA 2007-7 A2</v>
        <stp/>
        <stp>##V3_BDPV12</stp>
        <stp>US78444EAB56 mtge ISIN</stp>
        <stp>SECURITY DES</stp>
        <stp>[GNMA Mtge Bonds &amp; Swap CF_generator_Mar2016.DUB.xlsm]Analysis - ignore!R164C2</stp>
        <tr r="B164" s="1124"/>
      </tp>
      <tp t="s">
        <v>NEF 2005-1 A3</v>
        <stp/>
        <stp>##V3_BDPV12</stp>
        <stp>US66704JBG22 mtge ISIN</stp>
        <stp>SECURITY DES</stp>
        <stp>[GNMA Mtge Bonds &amp; Swap CF_generator_Mar2016.DUB.xlsm]Analysis - ignore!R101C2</stp>
        <tr r="B101" s="1124"/>
      </tp>
      <tp t="s">
        <v>10/25/2036</v>
        <stp/>
        <stp>##V3_BDPV12</stp>
        <stp>US709163GH61 mtge ISIN</stp>
        <stp>Maturity</stp>
        <stp>[GNMA Mtge Bonds &amp; Swap CF_generator_Mar2016.DUB.xlsm]Analysis - ignore!R107C13</stp>
        <tr r="M107" s="1124"/>
      </tp>
      <tp t="s">
        <v>6/1/2016</v>
        <stp/>
        <stp>##V3_BLP</stp>
        <stp>US38373MSC54 Mtge</stp>
        <stp>SETTLE_DT</stp>
        <stp>[GNMA Mtge Bonds &amp; Swap CF_generator_Mar2016.DUB.xlsm]ISINS_&amp;_SWAPS!R10C13</stp>
        <tr r="M10" s="20"/>
      </tp>
      <tp t="s">
        <v>6/1/2016</v>
        <stp/>
        <stp>##V3_BLP</stp>
        <stp>US38373MSC54 Mtge</stp>
        <stp>SETTLE_DT</stp>
        <stp>[GNMA Mtge Bonds &amp; Swap CF_generator_Mar2016.DUB.xlsm]ISINS_&amp;_SWAPS!R20C13</stp>
        <tr r="M20" s="20"/>
      </tp>
      <tp t="s">
        <v>6/1/2016</v>
        <stp/>
        <stp>##V3_BLP</stp>
        <stp>US38373MSC54 Mtge</stp>
        <stp>SETTLE_DT</stp>
        <stp>[GNMA Mtge Bonds &amp; Swap CF_generator_Mar2016.DUB.xlsm]ISINS_&amp;_SWAPS!R21C13</stp>
        <tr r="M21" s="20"/>
      </tp>
      <tp t="s">
        <v>SLMA 2006-1 B</v>
        <stp/>
        <stp>##V3_BDPV12</stp>
        <stp>US78442GRQ19 mtge ISIN</stp>
        <stp>SECURITY DES</stp>
        <stp>[GNMA Mtge Bonds &amp; Swap CF_generator_Mar2016.DUB.xlsm]Analysis - ignore!R138C2</stp>
        <tr r="B138" s="1124"/>
      </tp>
      <tp t="s">
        <v>SLMA 2007-5 A4</v>
        <stp/>
        <stp>##V3_BDPV12</stp>
        <stp>US78443FAD96 mtge ISIN</stp>
        <stp>SECURITY DES</stp>
        <stp>[GNMA Mtge Bonds &amp; Swap CF_generator_Mar2016.DUB.xlsm]Analysis - ignore!R146C2</stp>
        <tr r="B146" s="1124"/>
      </tp>
      <tp t="s">
        <v>SLMA 2008-7 A4</v>
        <stp/>
        <stp>##V3_BDPV12</stp>
        <stp>US78445FAD78 mtge ISIN</stp>
        <stp>SECURITY DES</stp>
        <stp>[GNMA Mtge Bonds &amp; Swap CF_generator_Mar2016.DUB.xlsm]Analysis - ignore!R178C2</stp>
        <tr r="B178" s="1124"/>
      </tp>
      <tp t="s">
        <v>#N/A N/A</v>
        <stp/>
        <stp>##V3_BDPV12</stp>
        <stp>US194268AB47 mtge</stp>
        <stp>MTG WAL</stp>
        <stp>[GNMA Mtge Bonds &amp; Swap CF_generator_Mar2016.DUB.xlsm]Analysis - ignore!R45C10</stp>
        <stp xml:space="preserve">ALLOW_DYNAMIC_CASHFLOW_CALCS </stp>
        <stp>Y</stp>
        <stp>MTG PREPAY SPEED</stp>
        <stp>0</stp>
        <stp>MTG PREPAY TYP</stp>
        <stp>PPC</stp>
        <tr r="J45" s="1124"/>
      </tp>
      <tp t="s">
        <v>SLMA 2006-4 A5</v>
        <stp/>
        <stp>##V3_BDPV12</stp>
        <stp>US78442GSK30 mtge ISIN</stp>
        <stp>SECURITY DES</stp>
        <stp>[GNMA Mtge Bonds &amp; Swap CF_generator_Mar2016.DUB.xlsm]Analysis - ignore!R142C2</stp>
        <tr r="B142" s="1124"/>
      </tp>
      <tp t="s">
        <v>SLMA 2003-12 A5</v>
        <stp/>
        <stp>##V3_BDPV12</stp>
        <stp>US78442GKE51 mtge ISIN</stp>
        <stp>SECURITY DES</stp>
        <stp>[GNMA Mtge Bonds &amp; Swap CF_generator_Mar2016.DUB.xlsm]Analysis - ignore!R123C2</stp>
        <tr r="B123" s="1124"/>
      </tp>
      <tp t="s">
        <v>3/16/2037</v>
        <stp/>
        <stp>##V3_BDPV12</stp>
        <stp>US709163EK19 mtge ISIN</stp>
        <stp>Maturity</stp>
        <stp>[GNMA Mtge Bonds &amp; Swap CF_generator_Mar2016.DUB.xlsm]Analysis - ignore!R106C13</stp>
        <tr r="M106" s="1124"/>
      </tp>
      <tp t="s">
        <v>6/1/2016</v>
        <stp/>
        <stp>##V3_BLP</stp>
        <stp>US38373MK746 Mtge</stp>
        <stp>SETTLE_DT</stp>
        <stp>[GNMA Mtge Bonds &amp; Swap CF_generator_Mar2016.DUB.xlsm]ISINS_&amp;_SWAPS!R12C13</stp>
        <tr r="M12" s="20"/>
      </tp>
      <tp t="s">
        <v>6/1/2016</v>
        <stp/>
        <stp>##V3_BLP</stp>
        <stp>US38373MK746 Mtge</stp>
        <stp>SETTLE_DT</stp>
        <stp>[GNMA Mtge Bonds &amp; Swap CF_generator_Mar2016.DUB.xlsm]ISINS_&amp;_SWAPS!R25C13</stp>
        <tr r="M25" s="20"/>
      </tp>
      <tp t="s">
        <v>6/1/2016</v>
        <stp/>
        <stp>##V3_BLP</stp>
        <stp>US38373MK746 Mtge</stp>
        <stp>SETTLE_DT</stp>
        <stp>[GNMA Mtge Bonds &amp; Swap CF_generator_Mar2016.DUB.xlsm]ISINS_&amp;_SWAPS!R24C13</stp>
        <tr r="M24" s="20"/>
      </tp>
      <tp t="s">
        <v>SLMA 2008-3 A2</v>
        <stp/>
        <stp>##V3_BDPV12</stp>
        <stp>US78444GAB05 mtge ISIN</stp>
        <stp>SECURITY DES</stp>
        <stp>[GNMA Mtge Bonds &amp; Swap CF_generator_Mar2016.DUB.xlsm]Analysis - ignore!R166C2</stp>
        <tr r="B166" s="1124"/>
      </tp>
      <tp t="s">
        <v>SLMA 2008-7 A3</v>
        <stp/>
        <stp>##V3_BDPV12</stp>
        <stp>US78445FAC95 mtge ISIN</stp>
        <stp>SECURITY DES</stp>
        <stp>[GNMA Mtge Bonds &amp; Swap CF_generator_Mar2016.DUB.xlsm]Analysis - ignore!R177C2</stp>
        <tr r="B177" s="1124"/>
      </tp>
      <tp t="s">
        <v>SLMA 2008-6 A3</v>
        <stp/>
        <stp>##V3_BDPV12</stp>
        <stp>US78445CAC64 mtge ISIN</stp>
        <stp>SECURITY DES</stp>
        <stp>[GNMA Mtge Bonds &amp; Swap CF_generator_Mar2016.DUB.xlsm]Analysis - ignore!R173C2</stp>
        <tr r="B173" s="1124"/>
      </tp>
      <tp t="s">
        <v>12/22/2023</v>
        <stp/>
        <stp>##V3_BDPV12</stp>
        <stp>US64031QCG47 mtge ISIN</stp>
        <stp>Maturity</stp>
        <stp>[GNMA Mtge Bonds &amp; Swap CF_generator_Mar2016.DUB.xlsm]Analysis - ignore!R206C13</stp>
        <tr r="M206" s="1124"/>
      </tp>
      <tp t="s">
        <v>3/22/2032</v>
        <stp/>
        <stp>##V3_BDPV12</stp>
        <stp>US64031QCJ85 mtge ISIN</stp>
        <stp>Maturity</stp>
        <stp>[GNMA Mtge Bonds &amp; Swap CF_generator_Mar2016.DUB.xlsm]Analysis - ignore!R199C13</stp>
        <tr r="M199" s="1124"/>
      </tp>
      <tp t="s">
        <v>SLMA 2007-5 A6</v>
        <stp/>
        <stp>##V3_BDPV12</stp>
        <stp>US78443FAF45 mtge ISIN</stp>
        <stp>SECURITY DES</stp>
        <stp>[GNMA Mtge Bonds &amp; Swap CF_generator_Mar2016.DUB.xlsm]Analysis - ignore!R148C2</stp>
        <tr r="B148" s="1124"/>
      </tp>
      <tp t="s">
        <v>SLCLT 2008-2 A1</v>
        <stp/>
        <stp>##V3_BDPV12</stp>
        <stp>US78444NAA72 mtge ISIN</stp>
        <stp>SECURITY DES</stp>
        <stp>[GNMA Mtge Bonds &amp; Swap CF_generator_Mar2016.DUB.xlsm]Analysis - ignore!R167C2</stp>
        <tr r="B167" s="1124"/>
      </tp>
      <tp t="s">
        <v>9/1/2047</v>
        <stp/>
        <stp>##V3_BDPV12</stp>
        <stp>US90342NAY31 mtge ISIN</stp>
        <stp>Maturity</stp>
        <stp>[GNMA Mtge Bonds &amp; Swap CF_generator_Mar2016.DUB.xlsm]Analysis - ignore!R190C13</stp>
        <tr r="M190" s="1124"/>
      </tp>
      <tp t="s">
        <v>3/25/2026</v>
        <stp/>
        <stp>##V3_BDPV12</stp>
        <stp>USU63718AG22 mtge ISIN</stp>
        <stp>Maturity</stp>
        <stp>[GNMA Mtge Bonds &amp; Swap CF_generator_Mar2016.DUB.xlsm]Analysis - ignore!R207C13</stp>
        <tr r="M207" s="1124"/>
      </tp>
      <tp t="s">
        <v>3/1/2025</v>
        <stp/>
        <stp>##V3_BDPV12</stp>
        <stp>US90342NAB38 mtge ISIN</stp>
        <stp>Maturity</stp>
        <stp>[GNMA Mtge Bonds &amp; Swap CF_generator_Mar2016.DUB.xlsm]Analysis - ignore!R189C13</stp>
        <tr r="M189" s="1124"/>
      </tp>
      <tp t="s">
        <v>12/15/2032</v>
        <stp/>
        <stp>##V3_BDPV12</stp>
        <stp>US78442GFL59 mtge ISIN</stp>
        <stp>Maturity</stp>
        <stp>[GNMA Mtge Bonds &amp; Swap CF_generator_Mar2016.DUB.xlsm]Analysis - ignore!R122C13</stp>
        <tr r="M122" s="1124"/>
      </tp>
      <tp t="s">
        <v>SLMA 2006-6 A3</v>
        <stp/>
        <stp>##V3_BDPV12</stp>
        <stp>US83149FAC86 mtge ISIN</stp>
        <stp>SECURITY DES</stp>
        <stp>[GNMA Mtge Bonds &amp; Swap CF_generator_Mar2016.DUB.xlsm]Analysis - ignore!R181C2</stp>
        <tr r="B181" s="1124"/>
      </tp>
      <tp t="s">
        <v>SLMA 2006-9 A5</v>
        <stp/>
        <stp>##V3_BDPV12</stp>
        <stp>US78443KAE64 mtge ISIN</stp>
        <stp>SECURITY DES</stp>
        <stp>[GNMA Mtge Bonds &amp; Swap CF_generator_Mar2016.DUB.xlsm]Analysis - ignore!R155C2</stp>
        <tr r="B155" s="1124"/>
      </tp>
      <tp t="s">
        <v>USD</v>
        <stp/>
        <stp>##V3_BLP</stp>
        <stp>US38374MEF23 Mtge</stp>
        <stp>crncy</stp>
        <stp>[GNMA Mtge Bonds &amp; Swap CF_generator_Mar2016.DUB.xlsm]ISINS_&amp;_SWAPS!R9C20</stp>
        <tr r="T9" s="20"/>
      </tp>
      <tp t="s">
        <v>#N/A N/A</v>
        <stp/>
        <stp>##V3_BDPV12</stp>
        <stp>US10620NAE85 mtge</stp>
        <stp>MTG WAL</stp>
        <stp>[GNMA Mtge Bonds &amp; Swap CF_generator_Mar2016.DUB.xlsm]Analysis - ignore!R22C10</stp>
        <stp xml:space="preserve">ALLOW_DYNAMIC_CASHFLOW_CALCS </stp>
        <stp>Y</stp>
        <stp>MTG PREPAY SPEED</stp>
        <stp>100</stp>
        <stp>MTG PREPAY TYP</stp>
        <stp>PPC</stp>
        <tr r="J22" s="1124"/>
      </tp>
      <tp t="s">
        <v>SLMA 2004-10 A3</v>
        <stp/>
        <stp>##V3_BDPV12</stp>
        <stp>US78442GNC68 mtge ISIN</stp>
        <stp>SECURITY DES</stp>
        <stp>[GNMA Mtge Bonds &amp; Swap CF_generator_Mar2016.DUB.xlsm]Analysis - ignore!R126C2</stp>
        <tr r="B126" s="1124"/>
      </tp>
      <tp t="s">
        <v>SLMA 2005-2 A4</v>
        <stp/>
        <stp>##V3_BDPV12</stp>
        <stp>US78442GNU66 mtge ISIN</stp>
        <stp>SECURITY DES</stp>
        <stp>[GNMA Mtge Bonds &amp; Swap CF_generator_Mar2016.DUB.xlsm]Analysis - ignore!R128C2</stp>
        <tr r="B128" s="1124"/>
      </tp>
      <tp t="s">
        <v>STSLT 2006-1A A4</v>
        <stp/>
        <stp>##V3_BDPV12</stp>
        <stp>US86800NAD21 mtge ISIN</stp>
        <stp>SECURITY DES</stp>
        <stp>[GNMA Mtge Bonds &amp; Swap CF_generator_Mar2016.DUB.xlsm]Analysis - ignore!R188C2</stp>
        <tr r="B188" s="1124"/>
      </tp>
      <tp t="s">
        <v>WSLT 2006-1 A5</v>
        <stp/>
        <stp>##V3_BDPV12</stp>
        <stp>US92978JAE38 mtge ISIN</stp>
        <stp>SECURITY DES</stp>
        <stp>[GNMA Mtge Bonds &amp; Swap CF_generator_Mar2016.DUB.xlsm]Analysis - ignore!R191C2</stp>
        <tr r="B191" s="1124"/>
      </tp>
      <tp t="s">
        <v>#N/A N/A</v>
        <stp/>
        <stp>##V3_BDPV12</stp>
        <stp>US784423AD78 mtge</stp>
        <stp>MTG WAL</stp>
        <stp>[GNMA Mtge Bonds &amp; Swap CF_generator_Mar2016.DUB.xlsm]Analysis - ignore!R114C10</stp>
        <stp xml:space="preserve">ALLOW_DYNAMIC_CASHFLOW_CALCS </stp>
        <stp>Y</stp>
        <stp>MTG PREPAY SPEED</stp>
        <stp>0</stp>
        <stp>MTG PREPAY TYP</stp>
        <stp>cpr</stp>
        <tr r="J114" s="1124"/>
      </tp>
      <tp t="s">
        <v>1/25/2027</v>
        <stp/>
        <stp>##V3_BDPV12</stp>
        <stp>US83149EAE77 mtge ISIN</stp>
        <stp>Maturity</stp>
        <stp>[GNMA Mtge Bonds &amp; Swap CF_generator_Mar2016.DUB.xlsm]Analysis - ignore!R179C13</stp>
        <tr r="M179" s="1124"/>
      </tp>
      <tp t="s">
        <v>6/28/2038</v>
        <stp/>
        <stp>##V3_BDPV12</stp>
        <stp>US48122HAA23 mtge ISIN</stp>
        <stp>Maturity</stp>
        <stp>[GNMA Mtge Bonds &amp; Swap CF_generator_Mar2016.DUB.xlsm]Analysis - ignore!R205C13</stp>
        <tr r="M205" s="1124"/>
      </tp>
      <tp t="s">
        <v>10/27/2025</v>
        <stp/>
        <stp>##V3_BDPV12</stp>
        <stp>US83149FAC86 mtge ISIN</stp>
        <stp>Maturity</stp>
        <stp>[GNMA Mtge Bonds &amp; Swap CF_generator_Mar2016.DUB.xlsm]Analysis - ignore!R181C13</stp>
        <tr r="M181" s="1124"/>
      </tp>
      <tp t="s">
        <v>10/25/2040</v>
        <stp/>
        <stp>##V3_BDPV12</stp>
        <stp>US83149EAH09 mtge ISIN</stp>
        <stp>Maturity</stp>
        <stp>[GNMA Mtge Bonds &amp; Swap CF_generator_Mar2016.DUB.xlsm]Analysis - ignore!R180C13</stp>
        <tr r="M180" s="1124"/>
      </tp>
      <tp t="s">
        <v>SLMA 2006-8 A4</v>
        <stp/>
        <stp>##V3_BDPV12</stp>
        <stp>US78443HAD52 mtge ISIN</stp>
        <stp>SECURITY DES</stp>
        <stp>[GNMA Mtge Bonds &amp; Swap CF_generator_Mar2016.DUB.xlsm]Analysis - ignore!R152C2</stp>
        <tr r="B152" s="1124"/>
      </tp>
      <tp t="s">
        <v>SLMA 2007-5 A5</v>
        <stp/>
        <stp>##V3_BDPV12</stp>
        <stp>US78443FAE79 mtge ISIN</stp>
        <stp>SECURITY DES</stp>
        <stp>[GNMA Mtge Bonds &amp; Swap CF_generator_Mar2016.DUB.xlsm]Analysis - ignore!R147C2</stp>
        <tr r="B147" s="1124"/>
      </tp>
      <tp t="s">
        <v>GNR 2005-76 B</v>
        <stp/>
        <stp>##V3_BLP</stp>
        <stp>US38374MEF23 Mtge</stp>
        <stp>Name</stp>
        <stp>[GNMA Mtge Bonds &amp; Swap CF_generator_Mar2016.DUB.xlsm]ISINS_&amp;_SWAPS!R19C9</stp>
        <tr r="I19" s="20"/>
      </tp>
      <tp t="s">
        <v>10/28/2037</v>
        <stp/>
        <stp>##V3_BDPV12</stp>
        <stp>USU86787AD71 mtge ISIN</stp>
        <stp>Maturity</stp>
        <stp>[GNMA Mtge Bonds &amp; Swap CF_generator_Mar2016.DUB.xlsm]Analysis - ignore!R208C13</stp>
        <tr r="M208" s="1124"/>
      </tp>
      <tp t="s">
        <v>STSLT 2006-1A A3</v>
        <stp/>
        <stp>##V3_BDPV12</stp>
        <stp>US86800NAC48 mtge ISIN</stp>
        <stp>SECURITY DES</stp>
        <stp>[GNMA Mtge Bonds &amp; Swap CF_generator_Mar2016.DUB.xlsm]Analysis - ignore!R187C2</stp>
        <tr r="B187" s="1124"/>
      </tp>
      <tp t="s">
        <v>SLMA 2006-7 A6A</v>
        <stp/>
        <stp>##V3_BDPV12</stp>
        <stp>US78443GAF28 mtge ISIN</stp>
        <stp>SECURITY DES</stp>
        <stp>[GNMA Mtge Bonds &amp; Swap CF_generator_Mar2016.DUB.xlsm]Analysis - ignore!R150C2</stp>
        <tr r="B150" s="1124"/>
      </tp>
      <tp t="s">
        <v>SLMA 2008-6 A4</v>
        <stp/>
        <stp>##V3_BDPV12</stp>
        <stp>US78445CAD48 mtge ISIN</stp>
        <stp>SECURITY DES</stp>
        <stp>[GNMA Mtge Bonds &amp; Swap CF_generator_Mar2016.DUB.xlsm]Analysis - ignore!R174C2</stp>
        <tr r="B174" s="1124"/>
      </tp>
      <tp t="s">
        <v>NEF 2007-1 A3</v>
        <stp/>
        <stp>##V3_BDPV12</stp>
        <stp>US66704JBV98 mtge ISIN</stp>
        <stp>SECURITY DES</stp>
        <stp>[GNMA Mtge Bonds &amp; Swap CF_generator_Mar2016.DUB.xlsm]Analysis - ignore!R103C2</stp>
        <tr r="B103" s="1124"/>
      </tp>
      <tp t="s">
        <v>GNR 2005-76 B</v>
        <stp/>
        <stp>##V3_BLP</stp>
        <stp>US38374MEF23 Mtge</stp>
        <stp>Name</stp>
        <stp>[GNMA Mtge Bonds &amp; Swap CF_generator_Mar2016.DUB.xlsm]ISINS_&amp;_SWAPS!R18C9</stp>
        <tr r="I18" s="20"/>
      </tp>
      <tp t="s">
        <v>12/3/2018</v>
        <stp/>
        <stp>##V3_BDPV12</stp>
        <stp>US83714RAX17 mtge ISIN</stp>
        <stp>Maturity</stp>
        <stp>[GNMA Mtge Bonds &amp; Swap CF_generator_Mar2016.DUB.xlsm]Analysis - ignore!R182C13</stp>
        <tr r="M182" s="1124"/>
      </tp>
      <tp t="s">
        <v>12/1/2020</v>
        <stp/>
        <stp>##V3_BDPV12</stp>
        <stp>US83714RAY99 mtge ISIN</stp>
        <stp>Maturity</stp>
        <stp>[GNMA Mtge Bonds &amp; Swap CF_generator_Mar2016.DUB.xlsm]Analysis - ignore!R183C13</stp>
        <tr r="M183" s="1124"/>
      </tp>
      <tp>
        <v>4.7914699999999999E-3</v>
        <stp/>
        <stp>##V3_BLP</stp>
        <stp>US38374MEF23 Mtge</stp>
        <stp>mtg_factor</stp>
        <stp>[GNMA Mtge Bonds &amp; Swap CF_generator_Mar2016.DUB.xlsm]ISINS_&amp;_SWAPS!R9C15</stp>
        <tr r="O9" s="20"/>
      </tp>
      <tp t="s">
        <v>SLMA 2005-4 A4</v>
        <stp/>
        <stp>##V3_BDPV12</stp>
        <stp>US78442GPH38 mtge ISIN</stp>
        <stp>SECURITY DES</stp>
        <stp>[GNMA Mtge Bonds &amp; Swap CF_generator_Mar2016.DUB.xlsm]Analysis - ignore!R131C2</stp>
        <tr r="B131" s="1124"/>
      </tp>
      <tp t="s">
        <v>SLMA 2005-2 A5</v>
        <stp/>
        <stp>##V3_BDPV12</stp>
        <stp>US78442GNV40 mtge ISIN</stp>
        <stp>SECURITY DES</stp>
        <stp>[GNMA Mtge Bonds &amp; Swap CF_generator_Mar2016.DUB.xlsm]Analysis - ignore!R129C2</stp>
        <tr r="B129" s="1124"/>
      </tp>
      <tp t="s">
        <v>JPMST 2007-A A</v>
        <stp/>
        <stp>##V3_BDPV12</stp>
        <stp>US48122HAA23 mtge ISIN</stp>
        <stp>SECURITY DES</stp>
        <stp>[GNMA Mtge Bonds &amp; Swap CF_generator_Mar2016.DUB.xlsm]Analysis - ignore!R205C2</stp>
        <tr r="B205" s="1124"/>
      </tp>
      <tp t="s">
        <v>SLCLT 2008-2 A3</v>
        <stp/>
        <stp>##V3_BDPV12</stp>
        <stp>US78444NAC39 mtge ISIN</stp>
        <stp>SECURITY DES</stp>
        <stp>[GNMA Mtge Bonds &amp; Swap CF_generator_Mar2016.DUB.xlsm]Analysis - ignore!R169C2</stp>
        <tr r="B169" s="1124"/>
      </tp>
      <tp t="s">
        <v>1/25/2047</v>
        <stp/>
        <stp>##V3_BDPV12</stp>
        <stp>US194267AQ33 mtge ISIN</stp>
        <stp>Maturity</stp>
        <stp>[GNMA Mtge Bonds &amp; Swap CF_generator_Mar2016.DUB.xlsm]Analysis - ignore!R200C13</stp>
        <tr r="M200" s="1124"/>
      </tp>
      <tp t="s">
        <v>1/29/2046</v>
        <stp/>
        <stp>##V3_BDPV12</stp>
        <stp>US66704JBV98 mtge ISIN</stp>
        <stp>Maturity</stp>
        <stp>[GNMA Mtge Bonds &amp; Swap CF_generator_Mar2016.DUB.xlsm]Analysis - ignore!R103C13</stp>
        <tr r="M103" s="1124"/>
      </tp>
      <tp t="s">
        <v>12/15/2039</v>
        <stp/>
        <stp>##V3_BDPV12</stp>
        <stp>US784420AQ43 mtge ISIN</stp>
        <stp>Maturity</stp>
        <stp>[GNMA Mtge Bonds &amp; Swap CF_generator_Mar2016.DUB.xlsm]Analysis - ignore!R111C13</stp>
        <tr r="M111" s="1124"/>
      </tp>
      <tp t="s">
        <v>6/15/2029</v>
        <stp/>
        <stp>##V3_BDPV12</stp>
        <stp>US784420AP69 mtge ISIN</stp>
        <stp>Maturity</stp>
        <stp>[GNMA Mtge Bonds &amp; Swap CF_generator_Mar2016.DUB.xlsm]Analysis - ignore!R110C13</stp>
        <tr r="M110" s="1124"/>
      </tp>
      <tp t="s">
        <v>12/1/2022</v>
        <stp/>
        <stp>##V3_BDPV12</stp>
        <stp>US83714RBB87 mtge ISIN</stp>
        <stp>Maturity</stp>
        <stp>[GNMA Mtge Bonds &amp; Swap CF_generator_Mar2016.DUB.xlsm]Analysis - ignore!R185C13</stp>
        <tr r="M185" s="1124"/>
      </tp>
      <tp t="s">
        <v>7/28/2021</v>
        <stp/>
        <stp>##V3_BDPV12</stp>
        <stp>US66704JBC18 mtge ISIN</stp>
        <stp>Maturity</stp>
        <stp>[GNMA Mtge Bonds &amp; Swap CF_generator_Mar2016.DUB.xlsm]Analysis - ignore!R100C13</stp>
        <tr r="M100" s="1124"/>
      </tp>
      <tp t="s">
        <v>3/25/2044</v>
        <stp/>
        <stp>##V3_BDPV12</stp>
        <stp>US78443BAG14 mtge ISIN</stp>
        <stp>Maturity</stp>
        <stp>[GNMA Mtge Bonds &amp; Swap CF_generator_Mar2016.DUB.xlsm]Analysis - ignore!R145C13</stp>
        <tr r="M145" s="1124"/>
      </tp>
      <tp t="s">
        <v>1/27/2042</v>
        <stp/>
        <stp>##V3_BDPV12</stp>
        <stp>US78443VAG77 mtge ISIN</stp>
        <stp>Maturity</stp>
        <stp>[GNMA Mtge Bonds &amp; Swap CF_generator_Mar2016.DUB.xlsm]Analysis - ignore!R159C13</stp>
        <tr r="M159" s="1124"/>
      </tp>
      <tp t="s">
        <v>11/15/2027</v>
        <stp/>
        <stp>##V3_BDPV12</stp>
        <stp>US784423AG00 mtge ISIN</stp>
        <stp>Maturity</stp>
        <stp>[GNMA Mtge Bonds &amp; Swap CF_generator_Mar2016.DUB.xlsm]Analysis - ignore!R117C13</stp>
        <tr r="M117" s="1124"/>
      </tp>
      <tp t="s">
        <v>1/27/2042</v>
        <stp/>
        <stp>##V3_BDPV12</stp>
        <stp>US78443GAF28 mtge ISIN</stp>
        <stp>Maturity</stp>
        <stp>[GNMA Mtge Bonds &amp; Swap CF_generator_Mar2016.DUB.xlsm]Analysis - ignore!R150C13</stp>
        <tr r="M150" s="1124"/>
      </tp>
      <tp t="s">
        <v>1/25/2041</v>
        <stp/>
        <stp>##V3_BDPV12</stp>
        <stp>US78443KAF30 mtge ISIN</stp>
        <stp>Maturity</stp>
        <stp>[GNMA Mtge Bonds &amp; Swap CF_generator_Mar2016.DUB.xlsm]Analysis - ignore!R156C13</stp>
        <tr r="M156" s="1124"/>
      </tp>
      <tp t="s">
        <v>1/25/2041</v>
        <stp/>
        <stp>##V3_BDPV12</stp>
        <stp>US78443HAF01 mtge ISIN</stp>
        <stp>Maturity</stp>
        <stp>[GNMA Mtge Bonds &amp; Swap CF_generator_Mar2016.DUB.xlsm]Analysis - ignore!R154C13</stp>
        <tr r="M154" s="1124"/>
      </tp>
      <tp t="s">
        <v>12/15/2038</v>
        <stp/>
        <stp>##V3_BDPV12</stp>
        <stp>US784427AF31 mtge ISIN</stp>
        <stp>Maturity</stp>
        <stp>[GNMA Mtge Bonds &amp; Swap CF_generator_Mar2016.DUB.xlsm]Analysis - ignore!R119C13</stp>
        <tr r="M119" s="1124"/>
      </tp>
      <tp t="s">
        <v>9/15/2039</v>
        <stp/>
        <stp>##V3_BDPV12</stp>
        <stp>US784428AF14 mtge ISIN</stp>
        <stp>Maturity</stp>
        <stp>[GNMA Mtge Bonds &amp; Swap CF_generator_Mar2016.DUB.xlsm]Analysis - ignore!R121C13</stp>
        <tr r="M121" s="1124"/>
      </tp>
      <tp t="s">
        <v>5/15/2023</v>
        <stp/>
        <stp>##V3_BDPV12</stp>
        <stp>US784423AF27 mtge ISIN</stp>
        <stp>Maturity</stp>
        <stp>[GNMA Mtge Bonds &amp; Swap CF_generator_Mar2016.DUB.xlsm]Analysis - ignore!R116C13</stp>
        <tr r="M116" s="1124"/>
      </tp>
      <tp t="s">
        <v>1/26/2043</v>
        <stp/>
        <stp>##V3_BDPV12</stp>
        <stp>US78443FAF45 mtge ISIN</stp>
        <stp>Maturity</stp>
        <stp>[GNMA Mtge Bonds &amp; Swap CF_generator_Mar2016.DUB.xlsm]Analysis - ignore!R148C13</stp>
        <tr r="M148" s="1124"/>
      </tp>
      <tp t="s">
        <v>4/27/2043</v>
        <stp/>
        <stp>##V3_BDPV12</stp>
        <stp>US78444XAE76 mtge ISIN</stp>
        <stp>Maturity</stp>
        <stp>[GNMA Mtge Bonds &amp; Swap CF_generator_Mar2016.DUB.xlsm]Analysis - ignore!R172C13</stp>
        <tr r="M172" s="1124"/>
      </tp>
      <tp t="s">
        <v>1/26/2026</v>
        <stp/>
        <stp>##V3_BDPV12</stp>
        <stp>US78443VAE20 mtge ISIN</stp>
        <stp>Maturity</stp>
        <stp>[GNMA Mtge Bonds &amp; Swap CF_generator_Mar2016.DUB.xlsm]Analysis - ignore!R158C13</stp>
        <tr r="M158" s="1124"/>
      </tp>
      <tp t="s">
        <v>1/27/2025</v>
        <stp/>
        <stp>##V3_BDPV12</stp>
        <stp>US78443HAE36 mtge ISIN</stp>
        <stp>Maturity</stp>
        <stp>[GNMA Mtge Bonds &amp; Swap CF_generator_Mar2016.DUB.xlsm]Analysis - ignore!R153C13</stp>
        <tr r="M153" s="1124"/>
      </tp>
      <tp t="s">
        <v>1/25/2042</v>
        <stp/>
        <stp>##V3_BDPV12</stp>
        <stp>US78444AAE73 mtge ISIN</stp>
        <stp>Maturity</stp>
        <stp>[GNMA Mtge Bonds &amp; Swap CF_generator_Mar2016.DUB.xlsm]Analysis - ignore!R163C13</stp>
        <tr r="M163" s="1124"/>
      </tp>
      <tp t="s">
        <v>3/15/2027</v>
        <stp/>
        <stp>##V3_BDPV12</stp>
        <stp>US784427AE65 mtge ISIN</stp>
        <stp>Maturity</stp>
        <stp>[GNMA Mtge Bonds &amp; Swap CF_generator_Mar2016.DUB.xlsm]Analysis - ignore!R118C13</stp>
        <tr r="M118" s="1124"/>
      </tp>
      <tp t="s">
        <v>11/15/2021</v>
        <stp/>
        <stp>##V3_BDPV12</stp>
        <stp>US784423AE51 mtge ISIN</stp>
        <stp>Maturity</stp>
        <stp>[GNMA Mtge Bonds &amp; Swap CF_generator_Mar2016.DUB.xlsm]Analysis - ignore!R115C13</stp>
        <tr r="M115" s="1124"/>
      </tp>
      <tp t="s">
        <v>1/25/2024</v>
        <stp/>
        <stp>##V3_BDPV12</stp>
        <stp>US78443FAE79 mtge ISIN</stp>
        <stp>Maturity</stp>
        <stp>[GNMA Mtge Bonds &amp; Swap CF_generator_Mar2016.DUB.xlsm]Analysis - ignore!R147C13</stp>
        <tr r="M147" s="1124"/>
      </tp>
      <tp t="s">
        <v>1/26/2026</v>
        <stp/>
        <stp>##V3_BDPV12</stp>
        <stp>US78443KAE64 mtge ISIN</stp>
        <stp>Maturity</stp>
        <stp>[GNMA Mtge Bonds &amp; Swap CF_generator_Mar2016.DUB.xlsm]Analysis - ignore!R155C13</stp>
        <tr r="M155" s="1124"/>
      </tp>
      <tp t="s">
        <v>7/25/2023</v>
        <stp/>
        <stp>##V3_BDPV12</stp>
        <stp>US78443BAE65 mtge ISIN</stp>
        <stp>Maturity</stp>
        <stp>[GNMA Mtge Bonds &amp; Swap CF_generator_Mar2016.DUB.xlsm]Analysis - ignore!R144C13</stp>
        <tr r="M144" s="1124"/>
      </tp>
      <tp t="s">
        <v>1/27/2025</v>
        <stp/>
        <stp>##V3_BDPV12</stp>
        <stp>US78443GAE52 mtge ISIN</stp>
        <stp>Maturity</stp>
        <stp>[GNMA Mtge Bonds &amp; Swap CF_generator_Mar2016.DUB.xlsm]Analysis - ignore!R149C13</stp>
        <tr r="M149" s="1124"/>
      </tp>
      <tp t="s">
        <v>1/25/2022</v>
        <stp/>
        <stp>##V3_BDPV12</stp>
        <stp>US78443YAD85 mtge ISIN</stp>
        <stp>Maturity</stp>
        <stp>[GNMA Mtge Bonds &amp; Swap CF_generator_Mar2016.DUB.xlsm]Analysis - ignore!R161C13</stp>
        <tr r="M161" s="1124"/>
      </tp>
      <tp t="s">
        <v>4/26/2021</v>
        <stp/>
        <stp>##V3_BDPV12</stp>
        <stp>US78443FAD96 mtge ISIN</stp>
        <stp>Maturity</stp>
        <stp>[GNMA Mtge Bonds &amp; Swap CF_generator_Mar2016.DUB.xlsm]Analysis - ignore!R146C13</stp>
        <tr r="M146" s="1124"/>
      </tp>
      <tp t="s">
        <v>1/26/2026</v>
        <stp/>
        <stp>##V3_BDPV12</stp>
        <stp>US78444XAD93 mtge ISIN</stp>
        <stp>Maturity</stp>
        <stp>[GNMA Mtge Bonds &amp; Swap CF_generator_Mar2016.DUB.xlsm]Analysis - ignore!R171C13</stp>
        <tr r="M171" s="1124"/>
      </tp>
      <tp t="s">
        <v>4/25/2027</v>
        <stp/>
        <stp>##V3_BDPV12</stp>
        <stp>US78444AAD90 mtge ISIN</stp>
        <stp>Maturity</stp>
        <stp>[GNMA Mtge Bonds &amp; Swap CF_generator_Mar2016.DUB.xlsm]Analysis - ignore!R162C13</stp>
        <tr r="M162" s="1124"/>
      </tp>
      <tp t="s">
        <v>8/15/2019</v>
        <stp/>
        <stp>##V3_BDPV12</stp>
        <stp>US784423AD78 mtge ISIN</stp>
        <stp>Maturity</stp>
        <stp>[GNMA Mtge Bonds &amp; Swap CF_generator_Mar2016.DUB.xlsm]Analysis - ignore!R114C13</stp>
        <tr r="M114" s="1124"/>
      </tp>
      <tp t="s">
        <v>7/25/2023</v>
        <stp/>
        <stp>##V3_BDPV12</stp>
        <stp>US78445FAD78 mtge ISIN</stp>
        <stp>Maturity</stp>
        <stp>[GNMA Mtge Bonds &amp; Swap CF_generator_Mar2016.DUB.xlsm]Analysis - ignore!R178C13</stp>
        <tr r="M178" s="1124"/>
      </tp>
      <tp t="s">
        <v>7/25/2022</v>
        <stp/>
        <stp>##V3_BDPV12</stp>
        <stp>US78443XAD03 mtge ISIN</stp>
        <stp>Maturity</stp>
        <stp>[GNMA Mtge Bonds &amp; Swap CF_generator_Mar2016.DUB.xlsm]Analysis - ignore!R160C13</stp>
        <tr r="M160" s="1124"/>
      </tp>
      <tp t="s">
        <v>7/25/2023</v>
        <stp/>
        <stp>##V3_BDPV12</stp>
        <stp>US78445CAD48 mtge ISIN</stp>
        <stp>Maturity</stp>
        <stp>[GNMA Mtge Bonds &amp; Swap CF_generator_Mar2016.DUB.xlsm]Analysis - ignore!R174C13</stp>
        <tr r="M174" s="1124"/>
      </tp>
      <tp t="s">
        <v>6/15/2022</v>
        <stp/>
        <stp>##V3_BDPV12</stp>
        <stp>US784428AD65 mtge ISIN</stp>
        <stp>Maturity</stp>
        <stp>[GNMA Mtge Bonds &amp; Swap CF_generator_Mar2016.DUB.xlsm]Analysis - ignore!R120C13</stp>
        <tr r="M120" s="1124"/>
      </tp>
      <tp t="s">
        <v>2/15/2045</v>
        <stp/>
        <stp>##V3_BDPV12</stp>
        <stp>US784420AD30 mtge ISIN</stp>
        <stp>Maturity</stp>
        <stp>[GNMA Mtge Bonds &amp; Swap CF_generator_Mar2016.DUB.xlsm]Analysis - ignore!R108C13</stp>
        <tr r="M108" s="1124"/>
      </tp>
      <tp t="s">
        <v>6/15/2021</v>
        <stp/>
        <stp>##V3_BDPV12</stp>
        <stp>US78444NAD12 mtge ISIN</stp>
        <stp>Maturity</stp>
        <stp>[GNMA Mtge Bonds &amp; Swap CF_generator_Mar2016.DUB.xlsm]Analysis - ignore!R170C13</stp>
        <tr r="M170" s="1124"/>
      </tp>
      <tp t="s">
        <v>1/25/2022</v>
        <stp/>
        <stp>##V3_BDPV12</stp>
        <stp>US78443VAD47 mtge ISIN</stp>
        <stp>Maturity</stp>
        <stp>[GNMA Mtge Bonds &amp; Swap CF_generator_Mar2016.DUB.xlsm]Analysis - ignore!R157C13</stp>
        <tr r="M157" s="1124"/>
      </tp>
      <tp t="s">
        <v>10/25/2021</v>
        <stp/>
        <stp>##V3_BDPV12</stp>
        <stp>US78443HAD52 mtge ISIN</stp>
        <stp>Maturity</stp>
        <stp>[GNMA Mtge Bonds &amp; Swap CF_generator_Mar2016.DUB.xlsm]Analysis - ignore!R152C13</stp>
        <tr r="M152" s="1124"/>
      </tp>
      <tp t="s">
        <v>1/25/2022</v>
        <stp/>
        <stp>##V3_BDPV12</stp>
        <stp>US78444EAD13 mtge ISIN</stp>
        <stp>Maturity</stp>
        <stp>[GNMA Mtge Bonds &amp; Swap CF_generator_Mar2016.DUB.xlsm]Analysis - ignore!R165C13</stp>
        <tr r="M165" s="1124"/>
      </tp>
      <tp t="s">
        <v>12/2/2019</v>
        <stp/>
        <stp>##V3_BDPV12</stp>
        <stp>US83714RBA05 mtge ISIN</stp>
        <stp>Maturity</stp>
        <stp>[GNMA Mtge Bonds &amp; Swap CF_generator_Mar2016.DUB.xlsm]Analysis - ignore!R184C13</stp>
        <tr r="M184" s="1124"/>
      </tp>
      <tp t="s">
        <v>4/25/2019</v>
        <stp/>
        <stp>##V3_BDPV12</stp>
        <stp>US78445FAC95 mtge ISIN</stp>
        <stp>Maturity</stp>
        <stp>[GNMA Mtge Bonds &amp; Swap CF_generator_Mar2016.DUB.xlsm]Analysis - ignore!R177C13</stp>
        <tr r="M177" s="1124"/>
      </tp>
      <tp t="s">
        <v>1/25/2019</v>
        <stp/>
        <stp>##V3_BDPV12</stp>
        <stp>US78445CAC64 mtge ISIN</stp>
        <stp>Maturity</stp>
        <stp>[GNMA Mtge Bonds &amp; Swap CF_generator_Mar2016.DUB.xlsm]Analysis - ignore!R173C13</stp>
        <tr r="M173" s="1124"/>
      </tp>
      <tp t="s">
        <v>10/30/2030</v>
        <stp/>
        <stp>##V3_BDPV12</stp>
        <stp>US66704JBG22 mtge ISIN</stp>
        <stp>Maturity</stp>
        <stp>[GNMA Mtge Bonds &amp; Swap CF_generator_Mar2016.DUB.xlsm]Analysis - ignore!R101C13</stp>
        <tr r="M101" s="1124"/>
      </tp>
      <tp t="s">
        <v>9/15/2018</v>
        <stp/>
        <stp>##V3_BDPV12</stp>
        <stp>US78444NAC39 mtge ISIN</stp>
        <stp>Maturity</stp>
        <stp>[GNMA Mtge Bonds &amp; Swap CF_generator_Mar2016.DUB.xlsm]Analysis - ignore!R169C13</stp>
        <tr r="M169" s="1124"/>
      </tp>
      <tp t="s">
        <v>1/25/2018</v>
        <stp/>
        <stp>##V3_BDPV12</stp>
        <stp>US78443HAC79 mtge ISIN</stp>
        <stp>Maturity</stp>
        <stp>[GNMA Mtge Bonds &amp; Swap CF_generator_Mar2016.DUB.xlsm]Analysis - ignore!R151C13</stp>
        <tr r="M151" s="1124"/>
      </tp>
      <tp t="s">
        <v>5/15/2040</v>
        <stp/>
        <stp>##V3_BDPV12</stp>
        <stp>US784422AC13 mtge ISIN</stp>
        <stp>Maturity</stp>
        <stp>[GNMA Mtge Bonds &amp; Swap CF_generator_Mar2016.DUB.xlsm]Analysis - ignore!R113C13</stp>
        <tr r="M113" s="1124"/>
      </tp>
      <tp t="s">
        <v>1/25/2016</v>
        <stp/>
        <stp>##V3_BDPV12</stp>
        <stp>US78444EAB56 mtge ISIN</stp>
        <stp>Maturity</stp>
        <stp>[GNMA Mtge Bonds &amp; Swap CF_generator_Mar2016.DUB.xlsm]Analysis - ignore!R164C13</stp>
        <tr r="M164" s="1124"/>
      </tp>
      <tp t="s">
        <v>6/15/2017</v>
        <stp/>
        <stp>##V3_BDPV12</stp>
        <stp>US78444NAB55 mtge ISIN</stp>
        <stp>Maturity</stp>
        <stp>[GNMA Mtge Bonds &amp; Swap CF_generator_Mar2016.DUB.xlsm]Analysis - ignore!R168C13</stp>
        <tr r="M168" s="1124"/>
      </tp>
      <tp t="s">
        <v>5/15/2028</v>
        <stp/>
        <stp>##V3_BDPV12</stp>
        <stp>US784422AB30 mtge ISIN</stp>
        <stp>Maturity</stp>
        <stp>[GNMA Mtge Bonds &amp; Swap CF_generator_Mar2016.DUB.xlsm]Analysis - ignore!R112C13</stp>
        <tr r="M112" s="1124"/>
      </tp>
      <tp t="s">
        <v>1/25/2016</v>
        <stp/>
        <stp>##V3_BDPV12</stp>
        <stp>US78444GAB05 mtge ISIN</stp>
        <stp>Maturity</stp>
        <stp>[GNMA Mtge Bonds &amp; Swap CF_generator_Mar2016.DUB.xlsm]Analysis - ignore!R166C13</stp>
        <tr r="M166" s="1124"/>
      </tp>
      <tp t="s">
        <v>10/25/2017</v>
        <stp/>
        <stp>##V3_BDPV12</stp>
        <stp>US78445FAB13 mtge ISIN</stp>
        <stp>Maturity</stp>
        <stp>[GNMA Mtge Bonds &amp; Swap CF_generator_Mar2016.DUB.xlsm]Analysis - ignore!R176C13</stp>
        <tr r="M176" s="1124"/>
      </tp>
      <tp t="s">
        <v>9/15/2014</v>
        <stp/>
        <stp>##V3_BDPV12</stp>
        <stp>US78444NAA72 mtge ISIN</stp>
        <stp>Maturity</stp>
        <stp>[GNMA Mtge Bonds &amp; Swap CF_generator_Mar2016.DUB.xlsm]Analysis - ignore!R167C13</stp>
        <tr r="M167" s="1124"/>
      </tp>
      <tp t="s">
        <v>10/27/2014</v>
        <stp/>
        <stp>##V3_BDPV12</stp>
        <stp>US78445FAA30 mtge ISIN</stp>
        <stp>Maturity</stp>
        <stp>[GNMA Mtge Bonds &amp; Swap CF_generator_Mar2016.DUB.xlsm]Analysis - ignore!R175C13</stp>
        <tr r="M175" s="1124"/>
      </tp>
      <tp t="s">
        <v>4/28/2032</v>
        <stp/>
        <stp>##V3_BDPV12</stp>
        <stp>US66704JBH05 mtge ISIN</stp>
        <stp>Maturity</stp>
        <stp>[GNMA Mtge Bonds &amp; Swap CF_generator_Mar2016.DUB.xlsm]Analysis - ignore!R102C13</stp>
        <tr r="M102" s="1124"/>
      </tp>
      <tp t="s">
        <v>12/15/2039</v>
        <stp/>
        <stp>##V3_BDPV12</stp>
        <stp>US784420AJ00 mtge ISIN</stp>
        <stp>Maturity</stp>
        <stp>[GNMA Mtge Bonds &amp; Swap CF_generator_Mar2016.DUB.xlsm]Analysis - ignore!R109C13</stp>
        <tr r="M109" s="1124"/>
      </tp>
      <tp t="s">
        <v>SLMA 2006-9 A6</v>
        <stp/>
        <stp>##V3_BDPV12</stp>
        <stp>US78443KAF30 mtge ISIN</stp>
        <stp>SECURITY DES</stp>
        <stp>[GNMA Mtge Bonds &amp; Swap CF_generator_Mar2016.DUB.xlsm]Analysis - ignore!R156C2</stp>
        <tr r="B156" s="1124"/>
      </tp>
      <tp t="s">
        <v>SLMA 2006-8 A6</v>
        <stp/>
        <stp>##V3_BDPV12</stp>
        <stp>US78443HAF01 mtge ISIN</stp>
        <stp>SECURITY DES</stp>
        <stp>[GNMA Mtge Bonds &amp; Swap CF_generator_Mar2016.DUB.xlsm]Analysis - ignore!R154C2</stp>
        <tr r="B154" s="1124"/>
      </tp>
      <tp t="s">
        <v>SLMA 2006-8 A5</v>
        <stp/>
        <stp>##V3_BDPV12</stp>
        <stp>US78443HAE36 mtge ISIN</stp>
        <stp>SECURITY DES</stp>
        <stp>[GNMA Mtge Bonds &amp; Swap CF_generator_Mar2016.DUB.xlsm]Analysis - ignore!R153C2</stp>
        <tr r="B153" s="1124"/>
      </tp>
      <tp t="s">
        <v>SLMA 2003-1 A5B</v>
        <stp/>
        <stp>##V3_BDPV12</stp>
        <stp>US78442GFL59 mtge ISIN</stp>
        <stp>SECURITY DES</stp>
        <stp>[GNMA Mtge Bonds &amp; Swap CF_generator_Mar2016.DUB.xlsm]Analysis - ignore!R122C2</stp>
        <tr r="B122" s="1124"/>
      </tp>
      <tp t="s">
        <v>NEF 2004-2 A4</v>
        <stp/>
        <stp>##V3_BDPV12</stp>
        <stp>US66704JBC18 mtge ISIN</stp>
        <stp>SECURITY DES</stp>
        <stp>[GNMA Mtge Bonds &amp; Swap CF_generator_Mar2016.DUB.xlsm]Analysis - ignore!R100C2</stp>
        <tr r="B100" s="1124"/>
      </tp>
      <tp t="s">
        <v>SLCLT 2008-2 A4</v>
        <stp/>
        <stp>##V3_BDPV12</stp>
        <stp>US78444NAD12 mtge ISIN</stp>
        <stp>SECURITY DES</stp>
        <stp>[GNMA Mtge Bonds &amp; Swap CF_generator_Mar2016.DUB.xlsm]Analysis - ignore!R170C2</stp>
        <tr r="B170" s="1124"/>
      </tp>
      <tp t="s">
        <v>SLMA 2006-7 A5</v>
        <stp/>
        <stp>##V3_BDPV12</stp>
        <stp>US78443GAE52 mtge ISIN</stp>
        <stp>SECURITY DES</stp>
        <stp>[GNMA Mtge Bonds &amp; Swap CF_generator_Mar2016.DUB.xlsm]Analysis - ignore!R149C2</stp>
        <tr r="B149" s="1124"/>
      </tp>
      <tp t="s">
        <v>NSLT 2006-2 A7</v>
        <stp/>
        <stp>##V3_BDPV12</stp>
        <stp>XS0254562209 mtge ISIN</stp>
        <stp>SECURITY DES</stp>
        <stp>[GNMA Mtge Bonds &amp; Swap CF_generator_Mar2016.DUB.xlsm]Analysis - ignore!R196C2</stp>
        <tr r="B196" s="1124"/>
      </tp>
      <tp t="s">
        <v>GNR 2007-55 C</v>
        <stp/>
        <stp>##V3_BLP</stp>
        <stp>US38373MK746 Mtge</stp>
        <stp>Name</stp>
        <stp>[GNMA Mtge Bonds &amp; Swap CF_generator_Mar2016.DUB.xlsm]ISINS_&amp;_SWAPS!R24C9</stp>
        <tr r="I24" s="20"/>
      </tp>
      <tp t="s">
        <v>USD</v>
        <stp/>
        <stp>##V3_BLP</stp>
        <stp>US38374MEF23 Mtge</stp>
        <stp>crncy</stp>
        <stp>[GNMA Mtge Bonds &amp; Swap CF_generator_Mar2016.DUB.xlsm]ISINS_&amp;_SWAPS!R19C20</stp>
        <tr r="T19" s="20"/>
      </tp>
      <tp t="s">
        <v>USD</v>
        <stp/>
        <stp>##V3_BLP</stp>
        <stp>US38374MEF23 Mtge</stp>
        <stp>crncy</stp>
        <stp>[GNMA Mtge Bonds &amp; Swap CF_generator_Mar2016.DUB.xlsm]ISINS_&amp;_SWAPS!R18C20</stp>
        <tr r="T18" s="20"/>
      </tp>
      <tp t="s">
        <v>15 DAYS</v>
        <stp/>
        <stp>##V3_BLP</stp>
        <stp>US38373MG611 Mtge</stp>
        <stp>Mtg_pay_delay</stp>
        <stp>[GNMA Mtge Bonds &amp; Swap CF_generator_Mar2016.DUB.xlsm]ISINS_&amp;_SWAPS!R23C25</stp>
        <tr r="Y23" s="20"/>
      </tp>
      <tp t="s">
        <v>15 DAYS</v>
        <stp/>
        <stp>##V3_BLP</stp>
        <stp>US38373MG611 Mtge</stp>
        <stp>Mtg_pay_delay</stp>
        <stp>[GNMA Mtge Bonds &amp; Swap CF_generator_Mar2016.DUB.xlsm]ISINS_&amp;_SWAPS!R22C25</stp>
        <tr r="Y22" s="20"/>
      </tp>
      <tp t="s">
        <v>15 DAYS</v>
        <stp/>
        <stp>##V3_BLP</stp>
        <stp>US38373MG611 Mtge</stp>
        <stp>Mtg_pay_delay</stp>
        <stp>[GNMA Mtge Bonds &amp; Swap CF_generator_Mar2016.DUB.xlsm]ISINS_&amp;_SWAPS!R11C25</stp>
        <tr r="Y11" s="20"/>
      </tp>
      <tp t="s">
        <v>6/1/2007</v>
        <stp/>
        <stp>##V3_BLP</stp>
        <stp>US38373MG611 Mtge</stp>
        <stp>issue_dt</stp>
        <stp>[GNMA Mtge Bonds &amp; Swap CF_generator_Mar2016.DUB.xlsm]ISINS_&amp;_SWAPS!R23C12</stp>
        <tr r="L23" s="20"/>
      </tp>
      <tp t="s">
        <v>6/1/2007</v>
        <stp/>
        <stp>##V3_BLP</stp>
        <stp>US38373MG611 Mtge</stp>
        <stp>issue_dt</stp>
        <stp>[GNMA Mtge Bonds &amp; Swap CF_generator_Mar2016.DUB.xlsm]ISINS_&amp;_SWAPS!R22C12</stp>
        <tr r="L22" s="20"/>
      </tp>
      <tp t="s">
        <v>6/1/2007</v>
        <stp/>
        <stp>##V3_BLP</stp>
        <stp>US38373MG611 Mtge</stp>
        <stp>issue_dt</stp>
        <stp>[GNMA Mtge Bonds &amp; Swap CF_generator_Mar2016.DUB.xlsm]ISINS_&amp;_SWAPS!R11C12</stp>
        <tr r="L11" s="20"/>
      </tp>
      <tp t="s">
        <v>3/15/2026</v>
        <stp/>
        <stp>##V3_BDPV12</stp>
        <stp>US12556PAC14 mtge ISIN</stp>
        <stp>Maturity</stp>
        <stp>[GNMA Mtge Bonds &amp; Swap CF_generator_Mar2016.DUB.xlsm]Analysis - ignore!R30C13</stp>
        <tr r="M30" s="1124"/>
      </tp>
      <tp t="s">
        <v>NSLT 2007-2X A3L</v>
        <stp/>
        <stp>##V3_BDPV12</stp>
        <stp>USU63718AG22 mtge ISIN</stp>
        <stp>SECURITY DES</stp>
        <stp>[GNMA Mtge Bonds &amp; Swap CF_generator_Mar2016.DUB.xlsm]Analysis - ignore!R207C2</stp>
        <tr r="B207" s="1124"/>
      </tp>
      <tp t="s">
        <v>GNR 2007-55 C</v>
        <stp/>
        <stp>##V3_BLP</stp>
        <stp>US38373MK746 Mtge</stp>
        <stp>Name</stp>
        <stp>[GNMA Mtge Bonds &amp; Swap CF_generator_Mar2016.DUB.xlsm]ISINS_&amp;_SWAPS!R25C9</stp>
        <tr r="I25" s="20"/>
      </tp>
      <tp t="s">
        <v>SLMA 2005-9X A7A</v>
        <stp/>
        <stp>##V3_BDPV12</stp>
        <stp>XS0235359048 mtge ISIN</stp>
        <stp>SECURITY DES</stp>
        <stp>[GNMA Mtge Bonds &amp; Swap CF_generator_Mar2016.DUB.xlsm]Analysis - ignore!R195C2</stp>
        <tr r="B195" s="1124"/>
      </tp>
      <tp t="s">
        <v>7/28/2016</v>
        <stp/>
        <stp>##V3_BDPV12</stp>
        <stp>US001621AB79 mtge</stp>
        <stp xml:space="preserve">MTG_NXT_PAY_DT_SET_DT </stp>
        <stp>[GNMA Mtge Bonds &amp; Swap CF_generator_Mar2016.DUB.xlsm]Analysis - ignore!R7C11</stp>
        <tr r="K7" s="1124"/>
      </tp>
      <tp>
        <v>0.75384481211300025</v>
        <stp/>
        <stp>##V3_BDPV12</stp>
        <stp>USU63718AG22 mtge ISIN</stp>
        <stp>MTG FACTOR</stp>
        <stp>[GNMA Mtge Bonds &amp; Swap CF_generator_Mar2016.DUB.xlsm]Analysis - ignore!R207C17</stp>
        <tr r="Q207" s="1124"/>
      </tp>
      <tp t="s">
        <v>#N/A N/A</v>
        <stp/>
        <stp>##V3_BDPV12</stp>
        <stp>US16151UAB26 mtge</stp>
        <stp>MTG WAL</stp>
        <stp>[GNMA Mtge Bonds &amp; Swap CF_generator_Mar2016.DUB.xlsm]Analysis - ignore!R32C10</stp>
        <stp xml:space="preserve">ALLOW_DYNAMIC_CASHFLOW_CALCS </stp>
        <stp>Y</stp>
        <stp>MTG PREPAY SPEED</stp>
        <stp>0</stp>
        <stp>MTG PREPAY TYP</stp>
        <stp>CPR</stp>
        <tr r="J32" s="1124"/>
      </tp>
      <tp t="s">
        <v>1/26/2037</v>
        <stp/>
        <stp>##V3_BDPV12</stp>
        <stp>XS0254562209 mtge ISIN</stp>
        <stp>Maturity</stp>
        <stp>[GNMA Mtge Bonds &amp; Swap CF_generator_Mar2016.DUB.xlsm]Analysis - ignore!R196C13</stp>
        <tr r="M196" s="1124"/>
      </tp>
      <tp t="s">
        <v>SLCLT 2004-1 A6</v>
        <stp/>
        <stp>##V3_BDPV12</stp>
        <stp>US784423AF27 mtge ISIN</stp>
        <stp>SECURITY DES</stp>
        <stp>[GNMA Mtge Bonds &amp; Swap CF_generator_Mar2016.DUB.xlsm]Analysis - ignore!R116C2</stp>
        <tr r="B116" s="1124"/>
      </tp>
      <tp t="s">
        <v>SLCLT 2007-2 A3</v>
        <stp/>
        <stp>##V3_BDPV12</stp>
        <stp>US784422AC13 mtge ISIN</stp>
        <stp>SECURITY DES</stp>
        <stp>[GNMA Mtge Bonds &amp; Swap CF_generator_Mar2016.DUB.xlsm]Analysis - ignore!R113C2</stp>
        <tr r="B113" s="1124"/>
      </tp>
      <tp t="s">
        <v>SLCLT 2005-3 A4</v>
        <stp/>
        <stp>##V3_BDPV12</stp>
        <stp>US784420AQ43 mtge ISIN</stp>
        <stp>SECURITY DES</stp>
        <stp>[GNMA Mtge Bonds &amp; Swap CF_generator_Mar2016.DUB.xlsm]Analysis - ignore!R111C2</stp>
        <tr r="B111" s="1124"/>
      </tp>
      <tp t="s">
        <v>SLCLT 2008-1X A4B</v>
        <stp/>
        <stp>##V3_BDPV12</stp>
        <stp>XS0355234641 mtge ISIN</stp>
        <stp>SECURITY DES</stp>
        <stp>[GNMA Mtge Bonds &amp; Swap CF_generator_Mar2016.DUB.xlsm]Analysis - ignore!R198C2</stp>
        <tr r="B198" s="1124"/>
      </tp>
      <tp t="s">
        <v>USD</v>
        <stp/>
        <stp>##V3_BLP</stp>
        <stp>US38373MG611 Mtge</stp>
        <stp>crncy</stp>
        <stp>[GNMA Mtge Bonds &amp; Swap CF_generator_Mar2016.DUB.xlsm]ISINS_&amp;_SWAPS!R11C20</stp>
        <tr r="T11" s="20"/>
      </tp>
      <tp t="s">
        <v>USD</v>
        <stp/>
        <stp>##V3_BLP</stp>
        <stp>US38373MG611 Mtge</stp>
        <stp>crncy</stp>
        <stp>[GNMA Mtge Bonds &amp; Swap CF_generator_Mar2016.DUB.xlsm]ISINS_&amp;_SWAPS!R23C20</stp>
        <tr r="T23" s="20"/>
      </tp>
      <tp t="s">
        <v>USD</v>
        <stp/>
        <stp>##V3_BLP</stp>
        <stp>US38373MG611 Mtge</stp>
        <stp>crncy</stp>
        <stp>[GNMA Mtge Bonds &amp; Swap CF_generator_Mar2016.DUB.xlsm]ISINS_&amp;_SWAPS!R22C20</stp>
        <tr r="T22" s="20"/>
      </tp>
      <tp t="s">
        <v>15 DAYS</v>
        <stp/>
        <stp>##V3_BLP</stp>
        <stp>US38374MEF23 Mtge</stp>
        <stp>Mtg_pay_delay</stp>
        <stp>[GNMA Mtge Bonds &amp; Swap CF_generator_Mar2016.DUB.xlsm]ISINS_&amp;_SWAPS!R19C25</stp>
        <tr r="Y19" s="20"/>
      </tp>
      <tp t="s">
        <v>15 DAYS</v>
        <stp/>
        <stp>##V3_BLP</stp>
        <stp>US38374MEF23 Mtge</stp>
        <stp>Mtg_pay_delay</stp>
        <stp>[GNMA Mtge Bonds &amp; Swap CF_generator_Mar2016.DUB.xlsm]ISINS_&amp;_SWAPS!R18C25</stp>
        <tr r="Y18" s="20"/>
      </tp>
      <tp t="s">
        <v>CPJ</v>
        <stp/>
        <stp>##V3_BLP</stp>
        <stp>US38373MK746 Mtge</stp>
        <stp>mtg_prepay_typ</stp>
        <stp>[GNMA Mtge Bonds &amp; Swap CF_generator_Mar2016.DUB.xlsm]ISINS_&amp;_SWAPS!R25C22</stp>
        <tr r="V25" s="20"/>
      </tp>
      <tp t="s">
        <v>CPJ</v>
        <stp/>
        <stp>##V3_BLP</stp>
        <stp>US38373MK746 Mtge</stp>
        <stp>mtg_prepay_typ</stp>
        <stp>[GNMA Mtge Bonds &amp; Swap CF_generator_Mar2016.DUB.xlsm]ISINS_&amp;_SWAPS!R24C22</stp>
        <tr r="V24" s="20"/>
      </tp>
      <tp t="s">
        <v>CPJ</v>
        <stp/>
        <stp>##V3_BLP</stp>
        <stp>US38373MK746 Mtge</stp>
        <stp>mtg_prepay_typ</stp>
        <stp>[GNMA Mtge Bonds &amp; Swap CF_generator_Mar2016.DUB.xlsm]ISINS_&amp;_SWAPS!R12C22</stp>
        <tr r="V12" s="20"/>
      </tp>
      <tp t="s">
        <v>10/25/2033</v>
        <stp/>
        <stp>##V3_BDPV12</stp>
        <stp>US64031QBR11 mtge ISIN</stp>
        <stp>Maturity</stp>
        <stp>[GNMA Mtge Bonds &amp; Swap CF_generator_Mar2016.DUB.xlsm]Analysis - ignore!R83C13</stp>
        <tr r="M83" s="1124"/>
      </tp>
      <tp t="s">
        <v>12/15/2033</v>
        <stp/>
        <stp>##V3_BDPV12</stp>
        <stp>US12556PAD96 mtge ISIN</stp>
        <stp>Maturity</stp>
        <stp>[GNMA Mtge Bonds &amp; Swap CF_generator_Mar2016.DUB.xlsm]Analysis - ignore!R31C13</stp>
        <tr r="M31" s="1124"/>
      </tp>
      <tp t="s">
        <v>#N/A N/A</v>
        <stp/>
        <stp>##V3_BDPV12</stp>
        <stp>US64031QBX88 mtge</stp>
        <stp>MTG WAL</stp>
        <stp>[GNMA Mtge Bonds &amp; Swap CF_generator_Mar2016.DUB.xlsm]Analysis - ignore!R84C10</stp>
        <stp xml:space="preserve">ALLOW_DYNAMIC_CASHFLOW_CALCS </stp>
        <stp>Y</stp>
        <stp>MTG PREPAY SPEED</stp>
        <stp>2</stp>
        <stp>MTG PREPAY TYP</stp>
        <stp>CPR</stp>
        <tr r="J84" s="1124"/>
      </tp>
      <tp t="s">
        <v>3/30/2020</v>
        <stp/>
        <stp>##V3_BDPV12</stp>
        <stp>US16151UAB26 mtge ISIN</stp>
        <stp>Maturity</stp>
        <stp>[GNMA Mtge Bonds &amp; Swap CF_generator_Mar2016.DUB.xlsm]Analysis - ignore!R32C13</stp>
        <tr r="M32" s="1124"/>
      </tp>
      <tp t="s">
        <v>PHEAA 2006-1 A3</v>
        <stp/>
        <stp>##V3_BDPV12</stp>
        <stp>US708788AC85 mtge ISIN</stp>
        <stp>SECURITY DES</stp>
        <stp>[GNMA Mtge Bonds &amp; Swap CF_generator_Mar2016.DUB.xlsm]Analysis - ignore!R105C2</stp>
        <tr r="B105" s="1124"/>
      </tp>
      <tp t="s">
        <v>SLCLT 2007-2 A2</v>
        <stp/>
        <stp>##V3_BDPV12</stp>
        <stp>US784422AB30 mtge ISIN</stp>
        <stp>SECURITY DES</stp>
        <stp>[GNMA Mtge Bonds &amp; Swap CF_generator_Mar2016.DUB.xlsm]Analysis - ignore!R112C2</stp>
        <tr r="B112" s="1124"/>
      </tp>
      <tp t="s">
        <v>GNR 2007-34 C</v>
        <stp/>
        <stp>##V3_BLP</stp>
        <stp>US38373MG611 Mtge</stp>
        <stp>Name</stp>
        <stp>[GNMA Mtge Bonds &amp; Swap CF_generator_Mar2016.DUB.xlsm]ISINS_&amp;_SWAPS!R11C9</stp>
        <tr r="I11" s="20"/>
      </tp>
      <tp t="s">
        <v>6/28/2039</v>
        <stp/>
        <stp>##V3_BDPV12</stp>
        <stp>US16151UAD81 mtge ISIN</stp>
        <stp>Maturity</stp>
        <stp>[GNMA Mtge Bonds &amp; Swap CF_generator_Mar2016.DUB.xlsm]Analysis - ignore!R34C13</stp>
        <tr r="M34" s="1124"/>
      </tp>
      <tp t="s">
        <v>1/25/2037</v>
        <stp/>
        <stp>##V3_BDPV12</stp>
        <stp>US64031QBK67 mtge ISIN</stp>
        <stp>Maturity</stp>
        <stp>[GNMA Mtge Bonds &amp; Swap CF_generator_Mar2016.DUB.xlsm]Analysis - ignore!R82C13</stp>
        <tr r="M82" s="1124"/>
      </tp>
      <tp t="s">
        <v>10/1/2005</v>
        <stp/>
        <stp>##V3_BLP</stp>
        <stp>US38374MEF23 Mtge</stp>
        <stp>issue_dt</stp>
        <stp>[GNMA Mtge Bonds &amp; Swap CF_generator_Mar2016.DUB.xlsm]ISINS_&amp;_SWAPS!R19C12</stp>
        <tr r="L19" s="20"/>
      </tp>
      <tp t="s">
        <v>10/1/2005</v>
        <stp/>
        <stp>##V3_BLP</stp>
        <stp>US38374MEF23 Mtge</stp>
        <stp>issue_dt</stp>
        <stp>[GNMA Mtge Bonds &amp; Swap CF_generator_Mar2016.DUB.xlsm]ISINS_&amp;_SWAPS!R18C12</stp>
        <tr r="L18" s="20"/>
      </tp>
      <tp t="s">
        <v>12/1/2005</v>
        <stp/>
        <stp>##V3_BLP</stp>
        <stp>US38373MSC54 Mtge</stp>
        <stp>issue_dt</stp>
        <stp>[GNMA Mtge Bonds &amp; Swap CF_generator_Mar2016.DUB.xlsm]ISINS_&amp;_SWAPS!R20C12</stp>
        <tr r="L20" s="20"/>
      </tp>
      <tp t="s">
        <v>12/1/2005</v>
        <stp/>
        <stp>##V3_BLP</stp>
        <stp>US38373MSC54 Mtge</stp>
        <stp>issue_dt</stp>
        <stp>[GNMA Mtge Bonds &amp; Swap CF_generator_Mar2016.DUB.xlsm]ISINS_&amp;_SWAPS!R21C12</stp>
        <tr r="L21" s="20"/>
      </tp>
      <tp t="s">
        <v>12/1/2005</v>
        <stp/>
        <stp>##V3_BLP</stp>
        <stp>US38373MSC54 Mtge</stp>
        <stp>issue_dt</stp>
        <stp>[GNMA Mtge Bonds &amp; Swap CF_generator_Mar2016.DUB.xlsm]ISINS_&amp;_SWAPS!R10C12</stp>
        <tr r="L10" s="20"/>
      </tp>
      <tp t="s">
        <v>#N/A N/A</v>
        <stp/>
        <stp>##V3_BDPV12</stp>
        <stp>US00432CDP32 mtge</stp>
        <stp>MTG WAL</stp>
        <stp>[GNMA Mtge Bonds &amp; Swap CF_generator_Mar2016.DUB.xlsm]Analysis - ignore!R16C10</stp>
        <stp xml:space="preserve">ALLOW_DYNAMIC_CASHFLOW_CALCS </stp>
        <stp>Y</stp>
        <stp>MTG PREPAY SPEED</stp>
        <stp>0</stp>
        <stp>MTG PREPAY TYP</stp>
        <stp>PPS</stp>
        <tr r="J16" s="1124"/>
      </tp>
      <tp t="s">
        <v>5/25/2034</v>
        <stp/>
        <stp>##V3_BDPV12</stp>
        <stp>XS0255777103 mtge ISIN</stp>
        <stp>Maturity</stp>
        <stp>[GNMA Mtge Bonds &amp; Swap CF_generator_Mar2016.DUB.xlsm]Analysis - ignore!R197C13</stp>
        <tr r="M197" s="1124"/>
      </tp>
      <tp t="s">
        <v>10/26/2026</v>
        <stp/>
        <stp>##V3_BDPV12</stp>
        <stp>XS0235351904 mtge ISIN</stp>
        <stp>Maturity</stp>
        <stp>[GNMA Mtge Bonds &amp; Swap CF_generator_Mar2016.DUB.xlsm]Analysis - ignore!R194C13</stp>
        <tr r="M194" s="1124"/>
      </tp>
      <tp t="s">
        <v>PHEAA 2006-1 A2</v>
        <stp/>
        <stp>##V3_BDPV12</stp>
        <stp>US708788AB03 mtge ISIN</stp>
        <stp>SECURITY DES</stp>
        <stp>[GNMA Mtge Bonds &amp; Swap CF_generator_Mar2016.DUB.xlsm]Analysis - ignore!R104C2</stp>
        <tr r="B104" s="1124"/>
      </tp>
      <tp t="s">
        <v>SLCLT 2004-1 A5</v>
        <stp/>
        <stp>##V3_BDPV12</stp>
        <stp>US784423AE51 mtge ISIN</stp>
        <stp>SECURITY DES</stp>
        <stp>[GNMA Mtge Bonds &amp; Swap CF_generator_Mar2016.DUB.xlsm]Analysis - ignore!R115C2</stp>
        <tr r="B115" s="1124"/>
      </tp>
      <tp t="s">
        <v>15 DAYS</v>
        <stp/>
        <stp>##V3_BLP</stp>
        <stp>US38373MSC54 Mtge</stp>
        <stp>Mtg_pay_delay</stp>
        <stp>[GNMA Mtge Bonds &amp; Swap CF_generator_Mar2016.DUB.xlsm]ISINS_&amp;_SWAPS!R21C25</stp>
        <tr r="Y21" s="20"/>
      </tp>
      <tp t="s">
        <v>15 DAYS</v>
        <stp/>
        <stp>##V3_BLP</stp>
        <stp>US38373MSC54 Mtge</stp>
        <stp>Mtg_pay_delay</stp>
        <stp>[GNMA Mtge Bonds &amp; Swap CF_generator_Mar2016.DUB.xlsm]ISINS_&amp;_SWAPS!R20C25</stp>
        <tr r="Y20" s="20"/>
      </tp>
      <tp t="s">
        <v>15 DAYS</v>
        <stp/>
        <stp>##V3_BLP</stp>
        <stp>US38373MSC54 Mtge</stp>
        <stp>Mtg_pay_delay</stp>
        <stp>[GNMA Mtge Bonds &amp; Swap CF_generator_Mar2016.DUB.xlsm]ISINS_&amp;_SWAPS!R10C25</stp>
        <tr r="Y10" s="20"/>
      </tp>
      <tp t="s">
        <v>USD</v>
        <stp/>
        <stp>##V3_BLP</stp>
        <stp>US38373MK746 Mtge</stp>
        <stp>crncy</stp>
        <stp>[GNMA Mtge Bonds &amp; Swap CF_generator_Mar2016.DUB.xlsm]ISINS_&amp;_SWAPS!R12C20</stp>
        <tr r="T12" s="20"/>
      </tp>
      <tp t="s">
        <v>USD</v>
        <stp/>
        <stp>##V3_BLP</stp>
        <stp>US38373MK746 Mtge</stp>
        <stp>crncy</stp>
        <stp>[GNMA Mtge Bonds &amp; Swap CF_generator_Mar2016.DUB.xlsm]ISINS_&amp;_SWAPS!R24C20</stp>
        <tr r="T24" s="20"/>
      </tp>
      <tp t="s">
        <v>USD</v>
        <stp/>
        <stp>##V3_BLP</stp>
        <stp>US38373MK746 Mtge</stp>
        <stp>crncy</stp>
        <stp>[GNMA Mtge Bonds &amp; Swap CF_generator_Mar2016.DUB.xlsm]ISINS_&amp;_SWAPS!R25C20</stp>
        <tr r="T25" s="20"/>
      </tp>
      <tp t="s">
        <v>8/26/2030</v>
        <stp/>
        <stp>##V3_BDPV12</stp>
        <stp>US64031RAS85 mtge ISIN</stp>
        <stp>Maturity</stp>
        <stp>[GNMA Mtge Bonds &amp; Swap CF_generator_Mar2016.DUB.xlsm]Analysis - ignore!R87C13</stp>
        <tr r="M87" s="1124"/>
      </tp>
      <tp t="s">
        <v>12/24/2035</v>
        <stp/>
        <stp>##V3_BDPV12</stp>
        <stp>US64031QCD16 mtge ISIN</stp>
        <stp>Maturity</stp>
        <stp>[GNMA Mtge Bonds &amp; Swap CF_generator_Mar2016.DUB.xlsm]Analysis - ignore!R85C13</stp>
        <tr r="M85" s="1124"/>
      </tp>
      <tp t="s">
        <v>9/1/2007</v>
        <stp/>
        <stp>##V3_BLP</stp>
        <stp>US38373MK746 Mtge</stp>
        <stp>issue_dt</stp>
        <stp>[GNMA Mtge Bonds &amp; Swap CF_generator_Mar2016.DUB.xlsm]ISINS_&amp;_SWAPS!R24C12</stp>
        <tr r="L24" s="20"/>
      </tp>
      <tp t="s">
        <v>9/1/2007</v>
        <stp/>
        <stp>##V3_BLP</stp>
        <stp>US38373MK746 Mtge</stp>
        <stp>issue_dt</stp>
        <stp>[GNMA Mtge Bonds &amp; Swap CF_generator_Mar2016.DUB.xlsm]ISINS_&amp;_SWAPS!R25C12</stp>
        <tr r="L25" s="20"/>
      </tp>
      <tp t="s">
        <v>9/1/2007</v>
        <stp/>
        <stp>##V3_BLP</stp>
        <stp>US38373MK746 Mtge</stp>
        <stp>issue_dt</stp>
        <stp>[GNMA Mtge Bonds &amp; Swap CF_generator_Mar2016.DUB.xlsm]ISINS_&amp;_SWAPS!R12C12</stp>
        <tr r="L12" s="20"/>
      </tp>
      <tp t="s">
        <v>#N/A N/A</v>
        <stp/>
        <stp>##V3_BDPV12</stp>
        <stp>US00432CDN83 mtge</stp>
        <stp>MTG WAL</stp>
        <stp>[GNMA Mtge Bonds &amp; Swap CF_generator_Mar2016.DUB.xlsm]Analysis - ignore!R15C10</stp>
        <stp xml:space="preserve">ALLOW_DYNAMIC_CASHFLOW_CALCS </stp>
        <stp>Y</stp>
        <stp>MTG PREPAY SPEED</stp>
        <stp>0</stp>
        <stp>MTG PREPAY TYP</stp>
        <stp>PPS</stp>
        <tr r="J15" s="1124"/>
      </tp>
      <tp t="s">
        <v>GNR 2007-34 C</v>
        <stp/>
        <stp>##V3_BLP</stp>
        <stp>US38373MG611 Mtge</stp>
        <stp>Name</stp>
        <stp>[GNMA Mtge Bonds &amp; Swap CF_generator_Mar2016.DUB.xlsm]ISINS_&amp;_SWAPS!R23C9</stp>
        <tr r="I23" s="20"/>
      </tp>
      <tp t="s">
        <v>GNR 2007-55 C</v>
        <stp/>
        <stp>##V3_BLP</stp>
        <stp>US38373MK746 Mtge</stp>
        <stp>Name</stp>
        <stp>[GNMA Mtge Bonds &amp; Swap CF_generator_Mar2016.DUB.xlsm]ISINS_&amp;_SWAPS!R12C9</stp>
        <tr r="I12" s="20"/>
      </tp>
      <tp t="s">
        <v>#N/A N/A</v>
        <stp/>
        <stp>##V3_BDPV12</stp>
        <stp>US16151UAD81 mtge</stp>
        <stp>MTG WAL</stp>
        <stp>[GNMA Mtge Bonds &amp; Swap CF_generator_Mar2016.DUB.xlsm]Analysis - ignore!R34C10</stp>
        <stp xml:space="preserve">ALLOW_DYNAMIC_CASHFLOW_CALCS </stp>
        <stp>Y</stp>
        <stp>MTG PREPAY SPEED</stp>
        <stp>0</stp>
        <stp>MTG PREPAY TYP</stp>
        <stp>CPR</stp>
        <tr r="J34" s="1124"/>
      </tp>
      <tp t="s">
        <v>COLLE 2007-1 A14</v>
        <stp/>
        <stp>##V3_BDPV12</stp>
        <stp>US194267AQ33 mtge ISIN</stp>
        <stp>SECURITY DES</stp>
        <stp>[GNMA Mtge Bonds &amp; Swap CF_generator_Mar2016.DUB.xlsm]Analysis - ignore!R200C2</stp>
        <tr r="B200" s="1124"/>
      </tp>
      <tp t="s">
        <v>GNR 2007-34 C</v>
        <stp/>
        <stp>##V3_BLP</stp>
        <stp>US38373MG611 Mtge</stp>
        <stp>Name</stp>
        <stp>[GNMA Mtge Bonds &amp; Swap CF_generator_Mar2016.DUB.xlsm]ISINS_&amp;_SWAPS!R22C9</stp>
        <tr r="I22" s="20"/>
      </tp>
      <tp t="s">
        <v>15 DAYS</v>
        <stp/>
        <stp>##V3_BLP</stp>
        <stp>US38373MK746 Mtge</stp>
        <stp>Mtg_pay_delay</stp>
        <stp>[GNMA Mtge Bonds &amp; Swap CF_generator_Mar2016.DUB.xlsm]ISINS_&amp;_SWAPS!R24C25</stp>
        <tr r="Y24" s="20"/>
      </tp>
      <tp t="s">
        <v>15 DAYS</v>
        <stp/>
        <stp>##V3_BLP</stp>
        <stp>US38373MK746 Mtge</stp>
        <stp>Mtg_pay_delay</stp>
        <stp>[GNMA Mtge Bonds &amp; Swap CF_generator_Mar2016.DUB.xlsm]ISINS_&amp;_SWAPS!R25C25</stp>
        <tr r="Y25" s="20"/>
      </tp>
      <tp t="s">
        <v>15 DAYS</v>
        <stp/>
        <stp>##V3_BLP</stp>
        <stp>US38373MK746 Mtge</stp>
        <stp>Mtg_pay_delay</stp>
        <stp>[GNMA Mtge Bonds &amp; Swap CF_generator_Mar2016.DUB.xlsm]ISINS_&amp;_SWAPS!R12C25</stp>
        <tr r="Y12" s="20"/>
      </tp>
      <tp t="s">
        <v>USD</v>
        <stp/>
        <stp>##V3_BLP</stp>
        <stp>US38373MSC54 Mtge</stp>
        <stp>crncy</stp>
        <stp>[GNMA Mtge Bonds &amp; Swap CF_generator_Mar2016.DUB.xlsm]ISINS_&amp;_SWAPS!R10C20</stp>
        <tr r="T10" s="20"/>
      </tp>
      <tp t="s">
        <v>USD</v>
        <stp/>
        <stp>##V3_BLP</stp>
        <stp>US38373MSC54 Mtge</stp>
        <stp>crncy</stp>
        <stp>[GNMA Mtge Bonds &amp; Swap CF_generator_Mar2016.DUB.xlsm]ISINS_&amp;_SWAPS!R21C20</stp>
        <tr r="T21" s="20"/>
      </tp>
      <tp t="s">
        <v>USD</v>
        <stp/>
        <stp>##V3_BLP</stp>
        <stp>US38373MSC54 Mtge</stp>
        <stp>crncy</stp>
        <stp>[GNMA Mtge Bonds &amp; Swap CF_generator_Mar2016.DUB.xlsm]ISINS_&amp;_SWAPS!R20C20</stp>
        <tr r="T20" s="20"/>
      </tp>
      <tp t="s">
        <v>8/23/2027</v>
        <stp/>
        <stp>##V3_BDPV12</stp>
        <stp>US64031QCS84 mtge ISIN</stp>
        <stp>Maturity</stp>
        <stp>[GNMA Mtge Bonds &amp; Swap CF_generator_Mar2016.DUB.xlsm]Analysis - ignore!R86C13</stp>
        <tr r="M86" s="1124"/>
      </tp>
      <tp t="s">
        <v>4/25/2021</v>
        <stp/>
        <stp>##V3_BDPV12</stp>
        <stp>US64031QBJ94 mtge ISIN</stp>
        <stp>Maturity</stp>
        <stp>[GNMA Mtge Bonds &amp; Swap CF_generator_Mar2016.DUB.xlsm]Analysis - ignore!R81C13</stp>
        <tr r="M81" s="1124"/>
      </tp>
      <tp t="s">
        <v>12/15/2032</v>
        <stp/>
        <stp>##V3_BDPV12</stp>
        <stp>XS0355234641 mtge ISIN</stp>
        <stp>Maturity</stp>
        <stp>[GNMA Mtge Bonds &amp; Swap CF_generator_Mar2016.DUB.xlsm]Analysis - ignore!R198C13</stp>
        <tr r="M198" s="1124"/>
      </tp>
      <tp t="s">
        <v>PHEAA 2005-2 A2</v>
        <stp/>
        <stp>##V3_BDPV12</stp>
        <stp>US709163EK19 mtge ISIN</stp>
        <stp>SECURITY DES</stp>
        <stp>[GNMA Mtge Bonds &amp; Swap CF_generator_Mar2016.DUB.xlsm]Analysis - ignore!R106C2</stp>
        <tr r="B106" s="1124"/>
      </tp>
      <tp t="s">
        <v>SLCLT 2004-1 A7</v>
        <stp/>
        <stp>##V3_BDPV12</stp>
        <stp>US784423AG00 mtge ISIN</stp>
        <stp>SECURITY DES</stp>
        <stp>[GNMA Mtge Bonds &amp; Swap CF_generator_Mar2016.DUB.xlsm]Analysis - ignore!R117C2</stp>
        <tr r="B117" s="1124"/>
      </tp>
      <tp t="s">
        <v>8/25/2028</v>
        <stp/>
        <stp>##V3_BDPV12</stp>
        <stp>US36156YAD31 mtge ISIN</stp>
        <stp>Maturity</stp>
        <stp>[GNMA Mtge Bonds &amp; Swap CF_generator_Mar2016.DUB.xlsm]Analysis - ignore!R58C13</stp>
        <tr r="M58" s="1124"/>
      </tp>
      <tp t="s">
        <v>11/25/2026</v>
        <stp/>
        <stp>##V3_BDPV12</stp>
        <stp>US36156YAP60 mtge ISIN</stp>
        <stp>Maturity</stp>
        <stp>[GNMA Mtge Bonds &amp; Swap CF_generator_Mar2016.DUB.xlsm]Analysis - ignore!R60C13</stp>
        <tr r="M60" s="1124"/>
      </tp>
      <tp>
        <v>12</v>
        <stp/>
        <stp>##V3_BLP</stp>
        <stp>US38373MG611 Mtge</stp>
        <stp>CPN_FREQ</stp>
        <stp>[GNMA Mtge Bonds &amp; Swap CF_generator_Mar2016.DUB.xlsm]ISINS_&amp;_SWAPS!R22C26</stp>
        <tr r="Z22" s="20"/>
      </tp>
      <tp>
        <v>12</v>
        <stp/>
        <stp>##V3_BLP</stp>
        <stp>US38373MG611 Mtge</stp>
        <stp>CPN_FREQ</stp>
        <stp>[GNMA Mtge Bonds &amp; Swap CF_generator_Mar2016.DUB.xlsm]ISINS_&amp;_SWAPS!R23C26</stp>
        <tr r="Z23" s="20"/>
      </tp>
      <tp>
        <v>12</v>
        <stp/>
        <stp>##V3_BLP</stp>
        <stp>US38373MG611 Mtge</stp>
        <stp>CPN_FREQ</stp>
        <stp>[GNMA Mtge Bonds &amp; Swap CF_generator_Mar2016.DUB.xlsm]ISINS_&amp;_SWAPS!R11C26</stp>
        <tr r="Z11" s="20"/>
      </tp>
      <tp t="s">
        <v>HEF 2005-1 A3</v>
        <stp/>
        <stp>##V3_BDPV12</stp>
        <stp>US429827AV05 mtge ISIN</stp>
        <stp>SECURITY DES</stp>
        <stp>[GNMA Mtge Bonds &amp; Swap CF_generator_Mar2016.DUB.xlsm]Analysis - ignore!R202C2</stp>
        <tr r="B202" s="1124"/>
      </tp>
      <tp t="s">
        <v>SLCLT 2006-1 A5</v>
        <stp/>
        <stp>##V3_BDPV12</stp>
        <stp>US784427AE65 mtge ISIN</stp>
        <stp>SECURITY DES</stp>
        <stp>[GNMA Mtge Bonds &amp; Swap CF_generator_Mar2016.DUB.xlsm]Analysis - ignore!R118C2</stp>
        <tr r="B118" s="1124"/>
      </tp>
      <tp t="s">
        <v>GOAL 2006-1 A5</v>
        <stp/>
        <stp>##V3_BDPV12</stp>
        <stp>XS0255777103 mtge ISIN</stp>
        <stp>SECURITY DES</stp>
        <stp>[GNMA Mtge Bonds &amp; Swap CF_generator_Mar2016.DUB.xlsm]Analysis - ignore!R197C2</stp>
        <tr r="B197" s="1124"/>
      </tp>
      <tp t="s">
        <v>SLMA 2004-2 A5</v>
        <stp/>
        <stp>##V3_BDPV12</stp>
        <stp>XS0187454706 mtge ISIN</stp>
        <stp>SECURITY DES</stp>
        <stp>[GNMA Mtge Bonds &amp; Swap CF_generator_Mar2016.DUB.xlsm]Analysis - ignore!R193C2</stp>
        <tr r="B193" s="1124"/>
      </tp>
      <tp t="s">
        <v>7/28/2016</v>
        <stp/>
        <stp>##V3_BDPV12</stp>
        <stp>US001621AC52 mtge</stp>
        <stp xml:space="preserve">MTG_NXT_PAY_DT_SET_DT </stp>
        <stp>[GNMA Mtge Bonds &amp; Swap CF_generator_Mar2016.DUB.xlsm]Analysis - ignore!R8C11</stp>
        <tr r="K8" s="1124"/>
      </tp>
      <tp t="s">
        <v>5/25/2023</v>
        <stp/>
        <stp>##V3_BDPV12</stp>
        <stp>US36156YAN13 mtge ISIN</stp>
        <stp>Maturity</stp>
        <stp>[GNMA Mtge Bonds &amp; Swap CF_generator_Mar2016.DUB.xlsm]Analysis - ignore!R59C13</stp>
        <tr r="M59" s="1124"/>
      </tp>
      <tp t="s">
        <v>#N/A N/A</v>
        <stp/>
        <stp>##V3_BDPV12</stp>
        <stp>US36156YAC57 mtge</stp>
        <stp>MTG WAL</stp>
        <stp>[GNMA Mtge Bonds &amp; Swap CF_generator_Mar2016.DUB.xlsm]Analysis - ignore!R57C10</stp>
        <stp xml:space="preserve">ALLOW_DYNAMIC_CASHFLOW_CALCS </stp>
        <stp>Y</stp>
        <stp>MTG PREPAY SPEED</stp>
        <stp>2</stp>
        <stp>MTG PREPAY TYP</stp>
        <stp>CPR</stp>
        <tr r="J57" s="1124"/>
      </tp>
      <tp t="s">
        <v>1/25/2024</v>
        <stp/>
        <stp>##V3_BDPV12</stp>
        <stp>XS0187454706 mtge ISIN</stp>
        <stp>Maturity</stp>
        <stp>[GNMA Mtge Bonds &amp; Swap CF_generator_Mar2016.DUB.xlsm]Analysis - ignore!R193C13</stp>
        <tr r="M193" s="1124"/>
      </tp>
      <tp t="s">
        <v>HEF 2005-1 A5</v>
        <stp/>
        <stp>##V3_BDPV12</stp>
        <stp>US429827AX60 mtge ISIN</stp>
        <stp>SECURITY DES</stp>
        <stp>[GNMA Mtge Bonds &amp; Swap CF_generator_Mar2016.DUB.xlsm]Analysis - ignore!R204C2</stp>
        <tr r="B204" s="1124"/>
      </tp>
      <tp t="s">
        <v>HEF 2005-1 A4</v>
        <stp/>
        <stp>##V3_BDPV12</stp>
        <stp>US429827AW87 mtge ISIN</stp>
        <stp>SECURITY DES</stp>
        <stp>[GNMA Mtge Bonds &amp; Swap CF_generator_Mar2016.DUB.xlsm]Analysis - ignore!R203C2</stp>
        <tr r="B203" s="1124"/>
      </tp>
      <tp t="s">
        <v>SLCLT 2005-2 A4</v>
        <stp/>
        <stp>##V3_BDPV12</stp>
        <stp>US784420AJ00 mtge ISIN</stp>
        <stp>SECURITY DES</stp>
        <stp>[GNMA Mtge Bonds &amp; Swap CF_generator_Mar2016.DUB.xlsm]Analysis - ignore!R109C2</stp>
        <tr r="B109" s="1124"/>
      </tp>
      <tp t="s">
        <v>SLCLT 2005-3 A3</v>
        <stp/>
        <stp>##V3_BDPV12</stp>
        <stp>US784420AP69 mtge ISIN</stp>
        <stp>SECURITY DES</stp>
        <stp>[GNMA Mtge Bonds &amp; Swap CF_generator_Mar2016.DUB.xlsm]Analysis - ignore!R110C2</stp>
        <tr r="B110" s="1124"/>
      </tp>
      <tp t="s">
        <v>3/23/2037</v>
        <stp/>
        <stp>##V3_BDPV12</stp>
        <stp>US64031QBX88 mtge ISIN</stp>
        <stp>Maturity</stp>
        <stp>[GNMA Mtge Bonds &amp; Swap CF_generator_Mar2016.DUB.xlsm]Analysis - ignore!R84C13</stp>
        <tr r="M84" s="1124"/>
      </tp>
      <tp t="s">
        <v>#N/A N/A</v>
        <stp/>
        <stp>##V3_BDPV12</stp>
        <stp>US64031QBR11 mtge</stp>
        <stp>MTG WAL</stp>
        <stp>[GNMA Mtge Bonds &amp; Swap CF_generator_Mar2016.DUB.xlsm]Analysis - ignore!R83C10</stp>
        <stp xml:space="preserve">ALLOW_DYNAMIC_CASHFLOW_CALCS </stp>
        <stp>Y</stp>
        <stp>MTG PREPAY SPEED</stp>
        <stp>2</stp>
        <stp>MTG PREPAY TYP</stp>
        <stp>CPR</stp>
        <tr r="J83" s="1124"/>
      </tp>
      <tp t="s">
        <v>SLCLT 2005-1 A4</v>
        <stp/>
        <stp>##V3_BDPV12</stp>
        <stp>US784420AD30 mtge ISIN</stp>
        <stp>SECURITY DES</stp>
        <stp>[GNMA Mtge Bonds &amp; Swap CF_generator_Mar2016.DUB.xlsm]Analysis - ignore!R108C2</stp>
        <tr r="B108" s="1124"/>
      </tp>
      <tp t="s">
        <v>SLMA 2005-9X A6</v>
        <stp/>
        <stp>##V3_BDPV12</stp>
        <stp>XS0235351904 mtge ISIN</stp>
        <stp>SECURITY DES</stp>
        <stp>[GNMA Mtge Bonds &amp; Swap CF_generator_Mar2016.DUB.xlsm]Analysis - ignore!R194C2</stp>
        <tr r="B194" s="1124"/>
      </tp>
      <tp t="s">
        <v>12/28/2023</v>
        <stp/>
        <stp>##V3_BDPV12</stp>
        <stp>US16151UAC09 mtge ISIN</stp>
        <stp>Maturity</stp>
        <stp>[GNMA Mtge Bonds &amp; Swap CF_generator_Mar2016.DUB.xlsm]Analysis - ignore!R33C13</stp>
        <tr r="M33" s="1124"/>
      </tp>
      <tp t="s">
        <v>CPJ</v>
        <stp/>
        <stp>##V3_BLP</stp>
        <stp>US38374MEF23 Mtge</stp>
        <stp>mtg_prepay_typ</stp>
        <stp>[GNMA Mtge Bonds &amp; Swap CF_generator_Mar2016.DUB.xlsm]ISINS_&amp;_SWAPS!R18C22</stp>
        <tr r="V18" s="20"/>
      </tp>
      <tp t="s">
        <v>CPJ</v>
        <stp/>
        <stp>##V3_BLP</stp>
        <stp>US38374MEF23 Mtge</stp>
        <stp>mtg_prepay_typ</stp>
        <stp>[GNMA Mtge Bonds &amp; Swap CF_generator_Mar2016.DUB.xlsm]ISINS_&amp;_SWAPS!R19C22</stp>
        <tr r="V19" s="20"/>
      </tp>
      <tp>
        <v>1.21</v>
        <stp/>
        <stp>##V3_BDPV12</stp>
        <stp>US36156YAD31 mtge</stp>
        <stp>MTG WAL</stp>
        <stp>[GNMA Mtge Bonds &amp; Swap CF_generator_Mar2016.DUB.xlsm]Analysis - ignore!R58C10</stp>
        <stp xml:space="preserve">ALLOW_DYNAMIC_CASHFLOW_CALCS </stp>
        <stp>Y</stp>
        <stp>MTG PREPAY SPEED</stp>
        <stp>2</stp>
        <stp>MTG PREPAY TYP</stp>
        <stp>CPR</stp>
        <tr r="J58" s="1124"/>
      </tp>
      <tp>
        <v>6.9300000000000006</v>
        <stp/>
        <stp>##V3_BDPV12</stp>
        <stp>US64031RAS85 mtge</stp>
        <stp>MTG WAL</stp>
        <stp>[GNMA Mtge Bonds &amp; Swap CF_generator_Mar2016.DUB.xlsm]Analysis - ignore!R87C10</stp>
        <stp xml:space="preserve">ALLOW_DYNAMIC_CASHFLOW_CALCS </stp>
        <stp>Y</stp>
        <stp>MTG PREPAY SPEED</stp>
        <stp>0</stp>
        <stp>MTG PREPAY TYP</stp>
        <stp>CPR</stp>
        <tr r="J87" s="1124"/>
      </tp>
      <tp t="s">
        <v>#N/A N/A</v>
        <stp/>
        <stp>##V3_BDPV12</stp>
        <stp>US64031QCD16 mtge</stp>
        <stp>MTG WAL</stp>
        <stp>[GNMA Mtge Bonds &amp; Swap CF_generator_Mar2016.DUB.xlsm]Analysis - ignore!R85C10</stp>
        <stp xml:space="preserve">ALLOW_DYNAMIC_CASHFLOW_CALCS </stp>
        <stp>Y</stp>
        <stp>MTG PREPAY SPEED</stp>
        <stp>0</stp>
        <stp>MTG PREPAY TYP</stp>
        <stp>CPR</stp>
        <tr r="J85" s="1124"/>
      </tp>
      <tp>
        <v>12</v>
        <stp/>
        <stp>##V3_BLP</stp>
        <stp>US38373MK746 Mtge</stp>
        <stp>CPN_FREQ</stp>
        <stp>[GNMA Mtge Bonds &amp; Swap CF_generator_Mar2016.DUB.xlsm]ISINS_&amp;_SWAPS!R25C26</stp>
        <tr r="Z25" s="20"/>
      </tp>
      <tp>
        <v>12</v>
        <stp/>
        <stp>##V3_BLP</stp>
        <stp>US38373MK746 Mtge</stp>
        <stp>CPN_FREQ</stp>
        <stp>[GNMA Mtge Bonds &amp; Swap CF_generator_Mar2016.DUB.xlsm]ISINS_&amp;_SWAPS!R24C26</stp>
        <tr r="Z24" s="20"/>
      </tp>
      <tp>
        <v>12</v>
        <stp/>
        <stp>##V3_BLP</stp>
        <stp>US38373MK746 Mtge</stp>
        <stp>CPN_FREQ</stp>
        <stp>[GNMA Mtge Bonds &amp; Swap CF_generator_Mar2016.DUB.xlsm]ISINS_&amp;_SWAPS!R12C26</stp>
        <tr r="Z12" s="20"/>
      </tp>
      <tp t="s">
        <v>1/25/2041</v>
        <stp/>
        <stp>##V3_BDPV12</stp>
        <stp>XS0235359048 mtge ISIN</stp>
        <stp>Maturity</stp>
        <stp>[GNMA Mtge Bonds &amp; Swap CF_generator_Mar2016.DUB.xlsm]Analysis - ignore!R195C13</stp>
        <tr r="M195" s="1124"/>
      </tp>
      <tp t="s">
        <v>SLCLT 2006-1 A6</v>
        <stp/>
        <stp>##V3_BDPV12</stp>
        <stp>US784427AF31 mtge ISIN</stp>
        <stp>SECURITY DES</stp>
        <stp>[GNMA Mtge Bonds &amp; Swap CF_generator_Mar2016.DUB.xlsm]Analysis - ignore!R119C2</stp>
        <tr r="B119" s="1124"/>
      </tp>
      <tp t="s">
        <v>SLCLT 2004-1 A4</v>
        <stp/>
        <stp>##V3_BDPV12</stp>
        <stp>US784423AD78 mtge ISIN</stp>
        <stp>SECURITY DES</stp>
        <stp>[GNMA Mtge Bonds &amp; Swap CF_generator_Mar2016.DUB.xlsm]Analysis - ignore!R114C2</stp>
        <tr r="B114" s="1124"/>
      </tp>
      <tp>
        <v>0.98692890680000001</v>
        <stp/>
        <stp>##V3_BDPV12</stp>
        <stp>USU86787AD71 mtge ISIN</stp>
        <stp>MTG FACTOR</stp>
        <stp>[GNMA Mtge Bonds &amp; Swap CF_generator_Mar2016.DUB.xlsm]Analysis - ignore!R208C17</stp>
        <tr r="Q208" s="1124"/>
      </tp>
      <tp t="s">
        <v>11/25/2030</v>
        <stp/>
        <stp>##V3_BDPV12</stp>
        <stp>US36156YAQ44 mtge ISIN</stp>
        <stp>Maturity</stp>
        <stp>[GNMA Mtge Bonds &amp; Swap CF_generator_Mar2016.DUB.xlsm]Analysis - ignore!R61C13</stp>
        <tr r="M61" s="1124"/>
      </tp>
      <tp t="s">
        <v>#N/A N/A</v>
        <stp/>
        <stp>##V3_BDPV12</stp>
        <stp>US64031QBK67 mtge</stp>
        <stp>MTG WAL</stp>
        <stp>[GNMA Mtge Bonds &amp; Swap CF_generator_Mar2016.DUB.xlsm]Analysis - ignore!R82C10</stp>
        <stp xml:space="preserve">ALLOW_DYNAMIC_CASHFLOW_CALCS </stp>
        <stp>Y</stp>
        <stp>MTG PREPAY SPEED</stp>
        <stp>0</stp>
        <stp>MTG PREPAY TYP</stp>
        <stp>CPR</stp>
        <tr r="J82" s="1124"/>
      </tp>
      <tp>
        <v>12</v>
        <stp/>
        <stp>##V3_BLP</stp>
        <stp>US38373MSC54 Mtge</stp>
        <stp>CPN_FREQ</stp>
        <stp>[GNMA Mtge Bonds &amp; Swap CF_generator_Mar2016.DUB.xlsm]ISINS_&amp;_SWAPS!R21C26</stp>
        <tr r="Z21" s="20"/>
      </tp>
      <tp>
        <v>12</v>
        <stp/>
        <stp>##V3_BLP</stp>
        <stp>US38373MSC54 Mtge</stp>
        <stp>CPN_FREQ</stp>
        <stp>[GNMA Mtge Bonds &amp; Swap CF_generator_Mar2016.DUB.xlsm]ISINS_&amp;_SWAPS!R20C26</stp>
        <tr r="Z20" s="20"/>
      </tp>
      <tp>
        <v>12</v>
        <stp/>
        <stp>##V3_BLP</stp>
        <stp>US38373MSC54 Mtge</stp>
        <stp>CPN_FREQ</stp>
        <stp>[GNMA Mtge Bonds &amp; Swap CF_generator_Mar2016.DUB.xlsm]ISINS_&amp;_SWAPS!R10C26</stp>
        <tr r="Z10" s="20"/>
      </tp>
      <tp>
        <v>12</v>
        <stp/>
        <stp>##V3_BLP</stp>
        <stp>US38374MEF23 Mtge</stp>
        <stp>CPN_FREQ</stp>
        <stp>[GNMA Mtge Bonds &amp; Swap CF_generator_Mar2016.DUB.xlsm]ISINS_&amp;_SWAPS!R18C26</stp>
        <tr r="Z18" s="20"/>
      </tp>
      <tp>
        <v>12</v>
        <stp/>
        <stp>##V3_BLP</stp>
        <stp>US38374MEF23 Mtge</stp>
        <stp>CPN_FREQ</stp>
        <stp>[GNMA Mtge Bonds &amp; Swap CF_generator_Mar2016.DUB.xlsm]ISINS_&amp;_SWAPS!R19C26</stp>
        <tr r="Z19" s="20"/>
      </tp>
      <tp t="s">
        <v>HEF 2005-1 A2</v>
        <stp/>
        <stp>##V3_BDPV12</stp>
        <stp>US429827AU22 mtge ISIN</stp>
        <stp>SECURITY DES</stp>
        <stp>[GNMA Mtge Bonds &amp; Swap CF_generator_Mar2016.DUB.xlsm]Analysis - ignore!R201C2</stp>
        <tr r="B201" s="1124"/>
      </tp>
      <tp t="s">
        <v>STSLT 2006-1X A4</v>
        <stp/>
        <stp>##V3_BDPV12</stp>
        <stp>USU86787AD71 mtge ISIN</stp>
        <stp>SECURITY DES</stp>
        <stp>[GNMA Mtge Bonds &amp; Swap CF_generator_Mar2016.DUB.xlsm]Analysis - ignore!R208C2</stp>
        <tr r="B208" s="1124"/>
      </tp>
      <tp t="s">
        <v>7/28/2016</v>
        <stp/>
        <stp>##V3_BDPV12</stp>
        <stp>US001621AA96 mtge</stp>
        <stp xml:space="preserve">MTG_NXT_PAY_DT_SET_DT </stp>
        <stp>[GNMA Mtge Bonds &amp; Swap CF_generator_Mar2016.DUB.xlsm]Analysis - ignore!R6C11</stp>
        <tr r="K6" s="1124"/>
      </tp>
      <tp t="s">
        <v>CPJ</v>
        <stp/>
        <stp>##V3_BLP</stp>
        <stp>US38373MG611 Mtge</stp>
        <stp>mtg_prepay_typ</stp>
        <stp>[GNMA Mtge Bonds &amp; Swap CF_generator_Mar2016.DUB.xlsm]ISINS_&amp;_SWAPS!R22C22</stp>
        <tr r="V22" s="20"/>
      </tp>
      <tp t="s">
        <v>CPJ</v>
        <stp/>
        <stp>##V3_BLP</stp>
        <stp>US38373MG611 Mtge</stp>
        <stp>mtg_prepay_typ</stp>
        <stp>[GNMA Mtge Bonds &amp; Swap CF_generator_Mar2016.DUB.xlsm]ISINS_&amp;_SWAPS!R23C22</stp>
        <tr r="V23" s="20"/>
      </tp>
      <tp t="s">
        <v>CPJ</v>
        <stp/>
        <stp>##V3_BLP</stp>
        <stp>US38373MG611 Mtge</stp>
        <stp>mtg_prepay_typ</stp>
        <stp>[GNMA Mtge Bonds &amp; Swap CF_generator_Mar2016.DUB.xlsm]ISINS_&amp;_SWAPS!R11C22</stp>
        <tr r="V11" s="20"/>
      </tp>
      <tp t="s">
        <v>8/25/2025</v>
        <stp/>
        <stp>##V3_BDPV12</stp>
        <stp>US36156YAC57 mtge ISIN</stp>
        <stp>Maturity</stp>
        <stp>[GNMA Mtge Bonds &amp; Swap CF_generator_Mar2016.DUB.xlsm]Analysis - ignore!R57C13</stp>
        <tr r="M57" s="1124"/>
      </tp>
      <tp t="s">
        <v>#N/A N/A</v>
        <stp/>
        <stp>##V3_BDPV12</stp>
        <stp>US64031QBJ94 mtge</stp>
        <stp>MTG WAL</stp>
        <stp>[GNMA Mtge Bonds &amp; Swap CF_generator_Mar2016.DUB.xlsm]Analysis - ignore!R81C10</stp>
        <stp xml:space="preserve">ALLOW_DYNAMIC_CASHFLOW_CALCS </stp>
        <stp>Y</stp>
        <stp>MTG PREPAY SPEED</stp>
        <stp>0</stp>
        <stp>MTG PREPAY TYP</stp>
        <stp>CPR</stp>
        <tr r="J81" s="1124"/>
      </tp>
      <tp t="s">
        <v>#N/A N/A</v>
        <stp/>
        <stp>##V3_BDPV12</stp>
        <stp>US16151UAC09 mtge</stp>
        <stp>MTG WAL</stp>
        <stp>[GNMA Mtge Bonds &amp; Swap CF_generator_Mar2016.DUB.xlsm]Analysis - ignore!R33C10</stp>
        <stp xml:space="preserve">ALLOW_DYNAMIC_CASHFLOW_CALCS </stp>
        <stp>Y</stp>
        <stp>MTG PREPAY SPEED</stp>
        <stp>0</stp>
        <stp>MTG PREPAY TYP</stp>
        <stp>CPR</stp>
        <tr r="J33" s="1124"/>
      </tp>
      <tp t="s">
        <v>#N/A N/A</v>
        <stp/>
        <stp>##V3_BDPV12</stp>
        <stp>US64031QCS84 mtge</stp>
        <stp>MTG WAL</stp>
        <stp>[GNMA Mtge Bonds &amp; Swap CF_generator_Mar2016.DUB.xlsm]Analysis - ignore!R86C10</stp>
        <stp xml:space="preserve">ALLOW_DYNAMIC_CASHFLOW_CALCS </stp>
        <stp>Y</stp>
        <stp>MTG PREPAY SPEED</stp>
        <stp>2</stp>
        <stp>MTG PREPAY TYP</stp>
        <stp>CPR</stp>
        <tr r="J86" s="1124"/>
      </tp>
      <tp t="s">
        <v>PHEAA 2006-2 A3</v>
        <stp/>
        <stp>##V3_BDPV12</stp>
        <stp>US709163GH61 mtge ISIN</stp>
        <stp>SECURITY DES</stp>
        <stp>[GNMA Mtge Bonds &amp; Swap CF_generator_Mar2016.DUB.xlsm]Analysis - ignore!R107C2</stp>
        <tr r="B107" s="1124"/>
      </tp>
      <tp t="s">
        <v>SLCLT 2006-2 A6</v>
        <stp/>
        <stp>##V3_BDPV12</stp>
        <stp>US784428AF14 mtge ISIN</stp>
        <stp>SECURITY DES</stp>
        <stp>[GNMA Mtge Bonds &amp; Swap CF_generator_Mar2016.DUB.xlsm]Analysis - ignore!R121C2</stp>
        <tr r="B121" s="1124"/>
      </tp>
      <tp t="s">
        <v>SLCLT 2006-2 A4</v>
        <stp/>
        <stp>##V3_BDPV12</stp>
        <stp>US784428AD65 mtge ISIN</stp>
        <stp>SECURITY DES</stp>
        <stp>[GNMA Mtge Bonds &amp; Swap CF_generator_Mar2016.DUB.xlsm]Analysis - ignore!R120C2</stp>
        <tr r="B120" s="1124"/>
      </tp>
      <tp t="s">
        <v>NCSEA 2005-P A1</v>
        <stp/>
        <stp>##V3_BDPV12</stp>
        <stp>US658262DV99 mtge ISIN</stp>
        <stp>SECURITY DES</stp>
        <stp>[GNMA Mtge Bonds &amp; Swap CF_generator_Mar2016.DUB.xlsm]Analysis - ignore!R96C2</stp>
        <tr r="B96" s="1124"/>
      </tp>
      <tp t="s">
        <v>ISLLC 2005-1 A2</v>
        <stp/>
        <stp>##V3_BDPV12</stp>
        <stp>US462592AB29 mtge ISIN</stp>
        <stp>SECURITY DES</stp>
        <stp>[GNMA Mtge Bonds &amp; Swap CF_generator_Mar2016.DUB.xlsm]Analysis - ignore!R70C2</stp>
        <tr r="B70" s="1124"/>
      </tp>
      <tp t="s">
        <v>NSLT 2007-1 A2</v>
        <stp/>
        <stp>##V3_BDPV12</stp>
        <stp>US64032EAB39 mtge ISIN</stp>
        <stp>SECURITY DES</stp>
        <stp>[GNMA Mtge Bonds &amp; Swap CF_generator_Mar2016.DUB.xlsm]Analysis - ignore!R88C2</stp>
        <tr r="B88" s="1124"/>
      </tp>
      <tp t="s">
        <v>NEF 2004-2 A2</v>
        <stp/>
        <stp>##V3_BDPV12</stp>
        <stp>US66704JBA51 mtge ISIN</stp>
        <stp>SECURITY DES</stp>
        <stp>[GNMA Mtge Bonds &amp; Swap CF_generator_Mar2016.DUB.xlsm]Analysis - ignore!R98C2</stp>
        <tr r="B98" s="1124"/>
      </tp>
      <tp t="s">
        <v>5/25/2021</v>
        <stp/>
        <stp>##V3_BDPV12</stp>
        <stp>US36156HAP38 mtge ISIN</stp>
        <stp>Maturity</stp>
        <stp>[GNMA Mtge Bonds &amp; Swap CF_generator_Mar2016.DUB.xlsm]Analysis - ignore!R53C13</stp>
        <tr r="M53" s="1124"/>
      </tp>
      <tp t="s">
        <v>5/25/2026</v>
        <stp/>
        <stp>##V3_BDPV12</stp>
        <stp>US36156HAW88 mtge ISIN</stp>
        <stp>Maturity</stp>
        <stp>[GNMA Mtge Bonds &amp; Swap CF_generator_Mar2016.DUB.xlsm]Analysis - ignore!R55C13</stp>
        <tr r="M55" s="1124"/>
      </tp>
      <tp t="s">
        <v>ACCSS 2007-1 A3</v>
        <stp/>
        <stp>##V3_BDPV12</stp>
        <stp>US00432CDN83 mtge ISIN</stp>
        <stp>SECURITY DES</stp>
        <stp>[GNMA Mtge Bonds &amp; Swap CF_generator_Mar2016.DUB.xlsm]Analysis - ignore!R15C2</stp>
        <tr r="B15" s="1124"/>
      </tp>
      <tp t="s">
        <v>3/29/2027</v>
        <stp/>
        <stp>##V3_BDPV12</stp>
        <stp>US19458LBB53 mtge ISIN</stp>
        <stp>Maturity</stp>
        <stp>[GNMA Mtge Bonds &amp; Swap CF_generator_Mar2016.DUB.xlsm]Analysis - ignore!R47C13</stp>
        <tr r="M47" s="1124"/>
      </tp>
      <tp t="s">
        <v>#N/A N/A</v>
        <stp/>
        <stp>##V3_BDPV12</stp>
        <stp>US66704JAZ12 mtge</stp>
        <stp>MTG WAL</stp>
        <stp>[GNMA Mtge Bonds &amp; Swap CF_generator_Mar2016.DUB.xlsm]Analysis - ignore!R97C10</stp>
        <stp xml:space="preserve">ALLOW_DYNAMIC_CASHFLOW_CALCS </stp>
        <stp>Y</stp>
        <stp>MTG PREPAY SPEED</stp>
        <stp>3</stp>
        <stp>MTG PREPAY TYP</stp>
        <stp>CPR</stp>
        <tr r="J97" s="1124"/>
      </tp>
      <tp t="s">
        <v>NSLT 2004-4 A4</v>
        <stp/>
        <stp>##V3_BDPV12</stp>
        <stp>US64031QBJ94 mtge ISIN</stp>
        <stp>SECURITY DES</stp>
        <stp>[GNMA Mtge Bonds &amp; Swap CF_generator_Mar2016.DUB.xlsm]Analysis - ignore!R81C2</stp>
        <tr r="B81" s="1124"/>
      </tp>
      <tp t="s">
        <v>CITEL 2005-1 A4</v>
        <stp/>
        <stp>##V3_BDPV12</stp>
        <stp>US12556PAD96 mtge ISIN</stp>
        <stp>SECURITY DES</stp>
        <stp>[GNMA Mtge Bonds &amp; Swap CF_generator_Mar2016.DUB.xlsm]Analysis - ignore!R31C2</stp>
        <tr r="B31" s="1124"/>
      </tp>
      <tp t="s">
        <v>COLLE 2006-1 A5</v>
        <stp/>
        <stp>##V3_BDPV12</stp>
        <stp>US194262CS83 mtge ISIN</stp>
        <stp>SECURITY DES</stp>
        <stp>[GNMA Mtge Bonds &amp; Swap CF_generator_Mar2016.DUB.xlsm]Analysis - ignore!R41C2</stp>
        <tr r="B41" s="1124"/>
      </tp>
      <tp t="s">
        <v>10/28/2018</v>
        <stp/>
        <stp>##V3_BDPV12</stp>
        <stp>US01551DAH52 mtge ISIN</stp>
        <stp>Maturity</stp>
        <stp>[GNMA Mtge Bonds &amp; Swap CF_generator_Mar2016.DUB.xlsm]Analysis - ignore!R17C13</stp>
        <tr r="M17" s="1124"/>
      </tp>
      <tp t="s">
        <v>NSLT 2008-1 A2</v>
        <stp/>
        <stp>##V3_BDPV12</stp>
        <stp>US64032GAB86 mtge ISIN</stp>
        <stp>SECURITY DES</stp>
        <stp>[GNMA Mtge Bonds &amp; Swap CF_generator_Mar2016.DUB.xlsm]Analysis - ignore!R92C2</stp>
        <tr r="B92" s="1124"/>
      </tp>
      <tp t="s">
        <v>GCOE 2006-2A A3L</v>
        <stp/>
        <stp>##V3_BDPV12</stp>
        <stp>US36156YAD31 mtge ISIN</stp>
        <stp>SECURITY DES</stp>
        <stp>[GNMA Mtge Bonds &amp; Swap CF_generator_Mar2016.DUB.xlsm]Analysis - ignore!R58C2</stp>
        <tr r="B58" s="1124"/>
      </tp>
      <tp t="s">
        <v>#N/A N/A</v>
        <stp/>
        <stp>##V3_BDPV12</stp>
        <stp>US19458LBC37 mtge</stp>
        <stp>MTG WAL</stp>
        <stp>[GNMA Mtge Bonds &amp; Swap CF_generator_Mar2016.DUB.xlsm]Analysis - ignore!R48C10</stp>
        <stp xml:space="preserve">ALLOW_DYNAMIC_CASHFLOW_CALCS </stp>
        <stp>Y</stp>
        <stp>MTG PREPAY SPEED</stp>
        <stp>2</stp>
        <stp>MTG PREPAY TYP</stp>
        <stp>CPR</stp>
        <tr r="J48" s="1124"/>
      </tp>
      <tp>
        <v>7.73</v>
        <stp/>
        <stp>##V3_BDPV12</stp>
        <stp>US19458LAV27 mtge</stp>
        <stp>MTG WAL</stp>
        <stp>[GNMA Mtge Bonds &amp; Swap CF_generator_Mar2016.DUB.xlsm]Analysis - ignore!R46C10</stp>
        <stp xml:space="preserve">ALLOW_DYNAMIC_CASHFLOW_CALCS </stp>
        <stp>Y</stp>
        <stp>MTG PREPAY SPEED</stp>
        <stp>0</stp>
        <stp>MTG PREPAY TYP</stp>
        <stp>CPR</stp>
        <tr r="J46" s="1124"/>
      </tp>
      <tp t="s">
        <v>#N/A N/A</v>
        <stp/>
        <stp>##V3_BDPV12</stp>
        <stp>US01551DAH52 mtge</stp>
        <stp>MTG WAL</stp>
        <stp>[GNMA Mtge Bonds &amp; Swap CF_generator_Mar2016.DUB.xlsm]Analysis - ignore!R17C10</stp>
        <stp xml:space="preserve">ALLOW_DYNAMIC_CASHFLOW_CALCS </stp>
        <stp>Y</stp>
        <stp>MTG PREPAY SPEED</stp>
        <stp>0</stp>
        <stp>MTG PREPAY TYP</stp>
        <stp>CPR</stp>
        <tr r="J17" s="1124"/>
      </tp>
      <tp t="s">
        <v>#N/A N/A</v>
        <stp/>
        <stp>##V3_BDPV12</stp>
        <stp>US38021AAB89 mtge</stp>
        <stp>MTG WAL</stp>
        <stp>[GNMA Mtge Bonds &amp; Swap CF_generator_Mar2016.DUB.xlsm]Analysis - ignore!R62C10</stp>
        <stp xml:space="preserve">ALLOW_DYNAMIC_CASHFLOW_CALCS </stp>
        <stp>Y</stp>
        <stp>MTG PREPAY SPEED</stp>
        <stp>0</stp>
        <stp>MTG PREPAY TYP</stp>
        <stp>CPR</stp>
        <tr r="J62" s="1124"/>
      </tp>
      <tp t="s">
        <v>#N/A N/A</v>
        <stp/>
        <stp>##V3_BDPV12</stp>
        <stp>US64032JAD81 mtge</stp>
        <stp>MTG WAL</stp>
        <stp>[GNMA Mtge Bonds &amp; Swap CF_generator_Mar2016.DUB.xlsm]Analysis - ignore!R94C10</stp>
        <stp xml:space="preserve">ALLOW_DYNAMIC_CASHFLOW_CALCS </stp>
        <stp>Y</stp>
        <stp>MTG PREPAY SPEED</stp>
        <stp>0</stp>
        <stp>MTG PREPAY TYP</stp>
        <stp>CPR</stp>
        <tr r="J94" s="1124"/>
      </tp>
      <tp>
        <v>0</v>
        <stp/>
        <stp>##V3_BDPV12</stp>
        <stp>US001621AA96 mtge ISIN</stp>
        <stp>MTG FACTOR</stp>
        <stp>[GNMA Mtge Bonds &amp; Swap CF_generator_Mar2016.DUB.xlsm]Analysis - ignore!R6C17</stp>
        <tr r="Q6" s="1124"/>
      </tp>
      <tp>
        <v>9.6153846200000004E-2</v>
        <stp/>
        <stp>##V3_BDPV12</stp>
        <stp>US001621AB79 mtge ISIN</stp>
        <stp>MTG FACTOR</stp>
        <stp>[GNMA Mtge Bonds &amp; Swap CF_generator_Mar2016.DUB.xlsm]Analysis - ignore!R7C17</stp>
        <tr r="Q7" s="1124"/>
      </tp>
      <tp>
        <v>1</v>
        <stp/>
        <stp>##V3_BDPV12</stp>
        <stp>US001621AC52 mtge ISIN</stp>
        <stp>MTG FACTOR</stp>
        <stp>[GNMA Mtge Bonds &amp; Swap CF_generator_Mar2016.DUB.xlsm]Analysis - ignore!R8C17</stp>
        <tr r="Q8" s="1124"/>
      </tp>
      <tp t="s">
        <v>BRHEA 2005-1 1A4</v>
        <stp/>
        <stp>##V3_BDPV12</stp>
        <stp>US106238LE67 mtge ISIN</stp>
        <stp>SECURITY DES</stp>
        <stp>[GNMA Mtge Bonds &amp; Swap CF_generator_Mar2016.DUB.xlsm]Analysis - ignore!R29C2</stp>
        <tr r="B29" s="1124"/>
      </tp>
      <tp t="s">
        <v>12/27/2022</v>
        <stp/>
        <stp>##V3_BDPV12</stp>
        <stp>US64031AAD81 mtge ISIN</stp>
        <stp>Maturity</stp>
        <stp>[GNMA Mtge Bonds &amp; Swap CF_generator_Mar2016.DUB.xlsm]Analysis - ignore!R79C13</stp>
        <tr r="M79" s="1124"/>
      </tp>
      <tp t="s">
        <v>COELT 2004-A A4</v>
        <stp/>
        <stp>##V3_BDPV12</stp>
        <stp>US19458LAV27 mtge ISIN</stp>
        <stp>SECURITY DES</stp>
        <stp>[GNMA Mtge Bonds &amp; Swap CF_generator_Mar2016.DUB.xlsm]Analysis - ignore!R46C2</stp>
        <tr r="B46" s="1124"/>
      </tp>
      <tp t="s">
        <v>3/27/2038</v>
        <stp/>
        <stp>##V3_BDPV12</stp>
        <stp>US49327HAB15 mtge ISIN</stp>
        <stp>Maturity</stp>
        <stp>[GNMA Mtge Bonds &amp; Swap CF_generator_Mar2016.DUB.xlsm]Analysis - ignore!R74C13</stp>
        <tr r="M74" s="1124"/>
      </tp>
      <tp t="s">
        <v>10/28/2023</v>
        <stp/>
        <stp>##V3_BDPV12</stp>
        <stp>US01551DAK81 mtge ISIN</stp>
        <stp>Maturity</stp>
        <stp>[GNMA Mtge Bonds &amp; Swap CF_generator_Mar2016.DUB.xlsm]Analysis - ignore!R19C13</stp>
        <tr r="M19" s="1124"/>
      </tp>
      <tp t="s">
        <v>NSLT 2007-1 A4</v>
        <stp/>
        <stp>##V3_BDPV12</stp>
        <stp>US64032EAD94 mtge ISIN</stp>
        <stp>SECURITY DES</stp>
        <stp>[GNMA Mtge Bonds &amp; Swap CF_generator_Mar2016.DUB.xlsm]Analysis - ignore!R90C2</stp>
        <tr r="B90" s="1124"/>
      </tp>
      <tp t="s">
        <v>12/30/2024</v>
        <stp/>
        <stp>##V3_BDPV12</stp>
        <stp>US19458LBG41 mtge ISIN</stp>
        <stp>Maturity</stp>
        <stp>[GNMA Mtge Bonds &amp; Swap CF_generator_Mar2016.DUB.xlsm]Analysis - ignore!R49C13</stp>
        <tr r="M49" s="1124"/>
      </tp>
      <tp>
        <v>2.2000000000000002</v>
        <stp/>
        <stp>##V3_BDPV12</stp>
        <stp>US01551DAK81 mtge</stp>
        <stp>MTG WAL</stp>
        <stp>[GNMA Mtge Bonds &amp; Swap CF_generator_Mar2016.DUB.xlsm]Analysis - ignore!R19C10</stp>
        <stp xml:space="preserve">ALLOW_DYNAMIC_CASHFLOW_CALCS </stp>
        <stp>Y</stp>
        <stp>MTG PREPAY SPEED</stp>
        <stp>0</stp>
        <stp>MTG PREPAY TYP</stp>
        <stp>CPR</stp>
        <tr r="J19" s="1124"/>
      </tp>
      <tp t="s">
        <v>GCOE 2007-1A A5L</v>
        <stp/>
        <stp>##V3_BDPV12</stp>
        <stp>US36156YAN13 mtge ISIN</stp>
        <stp>SECURITY DES</stp>
        <stp>[GNMA Mtge Bonds &amp; Swap CF_generator_Mar2016.DUB.xlsm]Analysis - ignore!R59C2</stp>
        <tr r="B59" s="1124"/>
      </tp>
      <tp t="s">
        <v>#N/A N/A</v>
        <stp/>
        <stp>##V3_BDPV12</stp>
        <stp>US38021BAD29 mtge</stp>
        <stp>MTG WAL</stp>
        <stp>[GNMA Mtge Bonds &amp; Swap CF_generator_Mar2016.DUB.xlsm]Analysis - ignore!R66C10</stp>
        <stp xml:space="preserve">ALLOW_DYNAMIC_CASHFLOW_CALCS </stp>
        <stp>Y</stp>
        <stp>MTG PREPAY SPEED</stp>
        <stp>0</stp>
        <stp>MTG PREPAY TYP</stp>
        <stp>CPR</stp>
        <tr r="J66" s="1124"/>
      </tp>
      <tp t="s">
        <v>BRHEA 2004-I A2</v>
        <stp/>
        <stp>##V3_BDPV12</stp>
        <stp>US106238KS62 mtge ISIN</stp>
        <stp>SECURITY DES</stp>
        <stp>[GNMA Mtge Bonds &amp; Swap CF_generator_Mar2016.DUB.xlsm]Analysis - ignore!R28C2</stp>
        <tr r="B28" s="1124"/>
      </tp>
      <tp t="s">
        <v>COLLE 2005-1 A5</v>
        <stp/>
        <stp>##V3_BDPV12</stp>
        <stp>US194262CL31 mtge ISIN</stp>
        <stp>SECURITY DES</stp>
        <stp>[GNMA Mtge Bonds &amp; Swap CF_generator_Mar2016.DUB.xlsm]Analysis - ignore!R38C2</stp>
        <tr r="B38" s="1124"/>
      </tp>
      <tp t="s">
        <v>COLLE 2005-2 A2</v>
        <stp/>
        <stp>##V3_BDPV12</stp>
        <stp>US194266AB80 mtge ISIN</stp>
        <stp>SECURITY DES</stp>
        <stp>[GNMA Mtge Bonds &amp; Swap CF_generator_Mar2016.DUB.xlsm]Analysis - ignore!R43C2</stp>
        <tr r="B43" s="1124"/>
      </tp>
      <tp t="s">
        <v>COLLE 2006-1 A3</v>
        <stp/>
        <stp>##V3_BDPV12</stp>
        <stp>US194262CQ28 mtge ISIN</stp>
        <stp>SECURITY DES</stp>
        <stp>[GNMA Mtge Bonds &amp; Swap CF_generator_Mar2016.DUB.xlsm]Analysis - ignore!R39C2</stp>
        <tr r="B39" s="1124"/>
      </tp>
      <tp t="s">
        <v>ISLLC 2005-1 A3</v>
        <stp/>
        <stp>##V3_BDPV12</stp>
        <stp>US462592AC02 mtge ISIN</stp>
        <stp>SECURITY DES</stp>
        <stp>[GNMA Mtge Bonds &amp; Swap CF_generator_Mar2016.DUB.xlsm]Analysis - ignore!R71C2</stp>
        <tr r="B71" s="1124"/>
      </tp>
      <tp t="s">
        <v>BRHEA 2006-1 A2</v>
        <stp/>
        <stp>##V3_BDPV12</stp>
        <stp>US10620NAN84 mtge ISIN</stp>
        <stp>SECURITY DES</stp>
        <stp>[GNMA Mtge Bonds &amp; Swap CF_generator_Mar2016.DUB.xlsm]Analysis - ignore!R25C2</stp>
        <tr r="B25" s="1124"/>
      </tp>
      <tp t="s">
        <v>NSLT 2007-1 A3</v>
        <stp/>
        <stp>##V3_BDPV12</stp>
        <stp>US64032EAC12 mtge ISIN</stp>
        <stp>SECURITY DES</stp>
        <stp>[GNMA Mtge Bonds &amp; Swap CF_generator_Mar2016.DUB.xlsm]Analysis - ignore!R89C2</stp>
        <tr r="B89" s="1124"/>
      </tp>
      <tp t="s">
        <v>3/25/2024</v>
        <stp/>
        <stp>##V3_BDPV12</stp>
        <stp>US38021DAB29 mtge ISIN</stp>
        <stp>Maturity</stp>
        <stp>[GNMA Mtge Bonds &amp; Swap CF_generator_Mar2016.DUB.xlsm]Analysis - ignore!R67C13</stp>
        <tr r="M67" s="1124"/>
      </tp>
      <tp t="s">
        <v>11/25/2015</v>
        <stp/>
        <stp>##V3_BDPV12</stp>
        <stp>US64032GAB86 mtge ISIN</stp>
        <stp>Maturity</stp>
        <stp>[GNMA Mtge Bonds &amp; Swap CF_generator_Mar2016.DUB.xlsm]Analysis - ignore!R92C13</stp>
        <tr r="M92" s="1124"/>
      </tp>
      <tp t="s">
        <v>8/27/2036</v>
        <stp/>
        <stp>##V3_BDPV12</stp>
        <stp>US64032EAD94 mtge ISIN</stp>
        <stp>Maturity</stp>
        <stp>[GNMA Mtge Bonds &amp; Swap CF_generator_Mar2016.DUB.xlsm]Analysis - ignore!R90C13</stp>
        <tr r="M90" s="1124"/>
      </tp>
      <tp t="s">
        <v>NSLT 2007-2A A3L</v>
        <stp/>
        <stp>##V3_BDPV12</stp>
        <stp>US64032FAG90 mtge ISIN</stp>
        <stp>SECURITY DES</stp>
        <stp>[GNMA Mtge Bonds &amp; Swap CF_generator_Mar2016.DUB.xlsm]Analysis - ignore!R91C2</stp>
        <tr r="B91" s="1124"/>
      </tp>
      <tp t="s">
        <v>8/25/2023</v>
        <stp/>
        <stp>##V3_BDPV12</stp>
        <stp>US00432CDB46 mtge ISIN</stp>
        <stp>Maturity</stp>
        <stp>[GNMA Mtge Bonds &amp; Swap CF_generator_Mar2016.DUB.xlsm]Analysis - ignore!R13C13</stp>
        <tr r="M13" s="1124"/>
      </tp>
      <tp t="s">
        <v>#N/A N/A</v>
        <stp/>
        <stp>##V3_BDPV12</stp>
        <stp>US66704JBA51 mtge</stp>
        <stp>MTG WAL</stp>
        <stp>[GNMA Mtge Bonds &amp; Swap CF_generator_Mar2016.DUB.xlsm]Analysis - ignore!R98C10</stp>
        <stp xml:space="preserve">ALLOW_DYNAMIC_CASHFLOW_CALCS </stp>
        <stp>Y</stp>
        <stp>MTG PREPAY SPEED</stp>
        <stp>3</stp>
        <stp>MTG PREPAY TYP</stp>
        <stp>CPR</stp>
        <tr r="J98" s="1124"/>
      </tp>
      <tp t="s">
        <v>#N/A N/A</v>
        <stp/>
        <stp>##V3_BDPV12</stp>
        <stp>US49327HAA32 mtge</stp>
        <stp>MTG WAL</stp>
        <stp>[GNMA Mtge Bonds &amp; Swap CF_generator_Mar2016.DUB.xlsm]Analysis - ignore!R73C10</stp>
        <stp xml:space="preserve">ALLOW_DYNAMIC_CASHFLOW_CALCS </stp>
        <stp>Y</stp>
        <stp>MTG PREPAY SPEED</stp>
        <stp>0</stp>
        <stp>MTG PREPAY TYP</stp>
        <stp>CPR</stp>
        <tr r="J73" s="1124"/>
      </tp>
      <tp t="s">
        <v>CEDLT 2007-A A4</v>
        <stp/>
        <stp>##V3_BDPV12</stp>
        <stp>US16151UAD81 mtge ISIN</stp>
        <stp>SECURITY DES</stp>
        <stp>[GNMA Mtge Bonds &amp; Swap CF_generator_Mar2016.DUB.xlsm]Analysis - ignore!R34C2</stp>
        <tr r="B34" s="1124"/>
      </tp>
      <tp t="s">
        <v>#N/A N/A</v>
        <stp/>
        <stp>##V3_BDPV12</stp>
        <stp>US00432CDB46 mtge</stp>
        <stp>MTG WAL</stp>
        <stp>[GNMA Mtge Bonds &amp; Swap CF_generator_Mar2016.DUB.xlsm]Analysis - ignore!R13C10</stp>
        <stp xml:space="preserve">ALLOW_DYNAMIC_CASHFLOW_CALCS </stp>
        <stp>Y</stp>
        <stp>MTG PREPAY SPEED</stp>
        <stp>0</stp>
        <stp>MTG PREPAY TYP</stp>
        <stp>CPR</stp>
        <tr r="J13" s="1124"/>
      </tp>
      <tp t="s">
        <v>#N/A N/A</v>
        <stp/>
        <stp>##V3_BDPV12</stp>
        <stp>US19458LBH24 mtge</stp>
        <stp>MTG WAL</stp>
        <stp>[GNMA Mtge Bonds &amp; Swap CF_generator_Mar2016.DUB.xlsm]Analysis - ignore!R50C10</stp>
        <stp xml:space="preserve">ALLOW_DYNAMIC_CASHFLOW_CALCS </stp>
        <stp>Y</stp>
        <stp>MTG PREPAY SPEED</stp>
        <stp>0</stp>
        <stp>MTG PREPAY TYP</stp>
        <stp>CPR</stp>
        <tr r="J50" s="1124"/>
      </tp>
      <tp t="s">
        <v>2/16/2040</v>
        <stp/>
        <stp>##V3_BLP</stp>
        <stp>US38373MG611 Mtge</stp>
        <stp>maturity</stp>
        <stp>[GNMA Mtge Bonds &amp; Swap CF_generator_Mar2016.DUB.xlsm]ISINS_&amp;_SWAPS!R11C23</stp>
        <tr r="W11" s="20"/>
      </tp>
      <tp t="s">
        <v>2/16/2040</v>
        <stp/>
        <stp>##V3_BLP</stp>
        <stp>US38373MG611 Mtge</stp>
        <stp>maturity</stp>
        <stp>[GNMA Mtge Bonds &amp; Swap CF_generator_Mar2016.DUB.xlsm]ISINS_&amp;_SWAPS!R22C23</stp>
        <tr r="W22" s="20"/>
      </tp>
      <tp t="s">
        <v>2/16/2040</v>
        <stp/>
        <stp>##V3_BLP</stp>
        <stp>US38373MG611 Mtge</stp>
        <stp>maturity</stp>
        <stp>[GNMA Mtge Bonds &amp; Swap CF_generator_Mar2016.DUB.xlsm]ISINS_&amp;_SWAPS!R23C23</stp>
        <tr r="W23" s="20"/>
      </tp>
      <tp t="s">
        <v>BRHEA 2005-2 A12</v>
        <stp/>
        <stp>##V3_BDPV12</stp>
        <stp>US10620NAE85 mtge ISIN</stp>
        <stp>SECURITY DES</stp>
        <stp>[GNMA Mtge Bonds &amp; Swap CF_generator_Mar2016.DUB.xlsm]Analysis - ignore!R22C2</stp>
        <tr r="B22" s="1124"/>
      </tp>
      <tp t="s">
        <v>3/25/2026</v>
        <stp/>
        <stp>##V3_BDPV12</stp>
        <stp>US64032FAG90 mtge ISIN</stp>
        <stp>Maturity</stp>
        <stp>[GNMA Mtge Bonds &amp; Swap CF_generator_Mar2016.DUB.xlsm]Analysis - ignore!R91C13</stp>
        <tr r="M91" s="1124"/>
      </tp>
      <tp t="s">
        <v>COELT 2005-B A4</v>
        <stp/>
        <stp>##V3_BDPV12</stp>
        <stp>US19458LBH24 mtge ISIN</stp>
        <stp>SECURITY DES</stp>
        <stp>[GNMA Mtge Bonds &amp; Swap CF_generator_Mar2016.DUB.xlsm]Analysis - ignore!R50C2</stp>
        <tr r="B50" s="1124"/>
      </tp>
      <tp t="s">
        <v>9/28/2030</v>
        <stp/>
        <stp>##V3_BDPV12</stp>
        <stp>US19458LAV27 mtge ISIN</stp>
        <stp>Maturity</stp>
        <stp>[GNMA Mtge Bonds &amp; Swap CF_generator_Mar2016.DUB.xlsm]Analysis - ignore!R46C13</stp>
        <tr r="M46" s="1124"/>
      </tp>
      <tp t="s">
        <v>COELT 2005-A A3</v>
        <stp/>
        <stp>##V3_BDPV12</stp>
        <stp>US19458LBB53 mtge ISIN</stp>
        <stp>SECURITY DES</stp>
        <stp>[GNMA Mtge Bonds &amp; Swap CF_generator_Mar2016.DUB.xlsm]Analysis - ignore!R47C2</stp>
        <tr r="B47" s="1124"/>
      </tp>
      <tp t="s">
        <v>2/22/2044</v>
        <stp/>
        <stp>##V3_BDPV12</stp>
        <stp>US00432CCP41 mtge ISIN</stp>
        <stp>Maturity</stp>
        <stp>[GNMA Mtge Bonds &amp; Swap CF_generator_Mar2016.DUB.xlsm]Analysis - ignore!R12C13</stp>
        <tr r="M12" s="1124"/>
      </tp>
      <tp t="s">
        <v>3/28/2035</v>
        <stp/>
        <stp>##V3_BDPV12</stp>
        <stp>US19458LBC37 mtge ISIN</stp>
        <stp>Maturity</stp>
        <stp>[GNMA Mtge Bonds &amp; Swap CF_generator_Mar2016.DUB.xlsm]Analysis - ignore!R48C13</stp>
        <tr r="M48" s="1124"/>
      </tp>
      <tp t="s">
        <v>#N/A N/A</v>
        <stp/>
        <stp>##V3_BDPV12</stp>
        <stp>US64031AAD81 mtge</stp>
        <stp>MTG WAL</stp>
        <stp>[GNMA Mtge Bonds &amp; Swap CF_generator_Mar2016.DUB.xlsm]Analysis - ignore!R79C10</stp>
        <stp xml:space="preserve">ALLOW_DYNAMIC_CASHFLOW_CALCS </stp>
        <stp>Y</stp>
        <stp>MTG PREPAY SPEED</stp>
        <stp>2</stp>
        <stp>MTG PREPAY TYP</stp>
        <stp>CPR</stp>
        <tr r="J79" s="1124"/>
      </tp>
      <tp t="s">
        <v>NSLT 2005-2 A5</v>
        <stp/>
        <stp>##V3_BDPV12</stp>
        <stp>US64031QBX88 mtge ISIN</stp>
        <stp>SECURITY DES</stp>
        <stp>[GNMA Mtge Bonds &amp; Swap CF_generator_Mar2016.DUB.xlsm]Analysis - ignore!R84C2</stp>
        <tr r="B84" s="1124"/>
      </tp>
      <tp t="s">
        <v>#N/A N/A</v>
        <stp/>
        <stp>##V3_BDPV12</stp>
        <stp>US64032GAC69 mtge</stp>
        <stp>MTG WAL</stp>
        <stp>[GNMA Mtge Bonds &amp; Swap CF_generator_Mar2016.DUB.xlsm]Analysis - ignore!R93C10</stp>
        <stp xml:space="preserve">ALLOW_DYNAMIC_CASHFLOW_CALCS </stp>
        <stp>Y</stp>
        <stp>MTG PREPAY SPEED</stp>
        <stp>0</stp>
        <stp>MTG PREPAY TYP</stp>
        <stp>CPR</stp>
        <tr r="J93" s="1124"/>
      </tp>
      <tp t="s">
        <v>#N/A N/A</v>
        <stp/>
        <stp>##V3_BDPV12</stp>
        <stp>US00432CCP41 mtge</stp>
        <stp>MTG WAL</stp>
        <stp>[GNMA Mtge Bonds &amp; Swap CF_generator_Mar2016.DUB.xlsm]Analysis - ignore!R12C10</stp>
        <stp xml:space="preserve">ALLOW_DYNAMIC_CASHFLOW_CALCS </stp>
        <stp>Y</stp>
        <stp>MTG PREPAY SPEED</stp>
        <stp>0</stp>
        <stp>MTG PREPAY TYP</stp>
        <stp>CPR</stp>
        <tr r="J12" s="1124"/>
      </tp>
      <tp>
        <v>5.67</v>
        <stp/>
        <stp>##V3_BDPV12</stp>
        <stp>US01551DAL64 mtge</stp>
        <stp>MTG WAL</stp>
        <stp>[GNMA Mtge Bonds &amp; Swap CF_generator_Mar2016.DUB.xlsm]Analysis - ignore!R20C10</stp>
        <stp xml:space="preserve">ALLOW_DYNAMIC_CASHFLOW_CALCS </stp>
        <stp>Y</stp>
        <stp>MTG PREPAY SPEED</stp>
        <stp>0</stp>
        <stp>MTG PREPAY TYP</stp>
        <stp>CPR</stp>
        <tr r="J20" s="1124"/>
      </tp>
      <tp t="s">
        <v>#N/A N/A</v>
        <stp/>
        <stp>##V3_BDPV12</stp>
        <stp>US38021DAB29 mtge</stp>
        <stp>MTG WAL</stp>
        <stp>[GNMA Mtge Bonds &amp; Swap CF_generator_Mar2016.DUB.xlsm]Analysis - ignore!R67C10</stp>
        <stp xml:space="preserve">ALLOW_DYNAMIC_CASHFLOW_CALCS </stp>
        <stp>Y</stp>
        <stp>MTG PREPAY SPEED</stp>
        <stp>2</stp>
        <stp>MTG PREPAY TYP</stp>
        <stp>CPR</stp>
        <tr r="J67" s="1124"/>
      </tp>
      <tp t="s">
        <v>#N/A N/A</v>
        <stp/>
        <stp>##V3_BDPV12</stp>
        <stp>US49327HAB15 mtge</stp>
        <stp>MTG WAL</stp>
        <stp>[GNMA Mtge Bonds &amp; Swap CF_generator_Mar2016.DUB.xlsm]Analysis - ignore!R74C10</stp>
        <stp xml:space="preserve">ALLOW_DYNAMIC_CASHFLOW_CALCS </stp>
        <stp>Y</stp>
        <stp>MTG PREPAY SPEED</stp>
        <stp>0</stp>
        <stp>MTG PREPAY TYP</stp>
        <stp>CPR</stp>
        <tr r="J74" s="1124"/>
      </tp>
      <tp>
        <v>0.62436090860000004</v>
        <stp/>
        <stp>##V3_BDPV12</stp>
        <stp>US00432CCF68 mtge ISIN</stp>
        <stp>MTG FACTOR</stp>
        <stp>[GNMA Mtge Bonds &amp; Swap CF_generator_Mar2016.DUB.xlsm]Analysis - ignore!R9C17</stp>
        <tr r="Q9" s="1124"/>
      </tp>
      <tp t="s">
        <v>CPJ</v>
        <stp/>
        <stp>##V3_BLP</stp>
        <stp>US38374MEF23 Mtge</stp>
        <stp>mtg_prepay_typ</stp>
        <stp>[GNMA Mtge Bonds &amp; Swap CF_generator_Mar2016.DUB.xlsm]ISINS_&amp;_SWAPS!R9C22</stp>
        <tr r="V9" s="20"/>
      </tp>
      <tp t="s">
        <v>GOAL 2007-1 A3</v>
        <stp/>
        <stp>##V3_BDPV12</stp>
        <stp>US38021DAC02 mtge ISIN</stp>
        <stp>SECURITY DES</stp>
        <stp>[GNMA Mtge Bonds &amp; Swap CF_generator_Mar2016.DUB.xlsm]Analysis - ignore!R68C2</stp>
        <tr r="B68" s="1124"/>
      </tp>
      <tp t="s">
        <v>11/27/2028</v>
        <stp/>
        <stp>##V3_BDPV12</stp>
        <stp>US38021BAD29 mtge ISIN</stp>
        <stp>Maturity</stp>
        <stp>[GNMA Mtge Bonds &amp; Swap CF_generator_Mar2016.DUB.xlsm]Analysis - ignore!R66C13</stp>
        <tr r="M66" s="1124"/>
      </tp>
      <tp t="s">
        <v>5/27/2025</v>
        <stp/>
        <stp>##V3_BDPV12</stp>
        <stp>US64032EAC12 mtge ISIN</stp>
        <stp>Maturity</stp>
        <stp>[GNMA Mtge Bonds &amp; Swap CF_generator_Mar2016.DUB.xlsm]Analysis - ignore!R89C13</stp>
        <tr r="M89" s="1124"/>
      </tp>
      <tp t="s">
        <v>9/27/2020</v>
        <stp/>
        <stp>##V3_BDPV12</stp>
        <stp>US49327HAA32 mtge ISIN</stp>
        <stp>Maturity</stp>
        <stp>[GNMA Mtge Bonds &amp; Swap CF_generator_Mar2016.DUB.xlsm]Analysis - ignore!R73C13</stp>
        <tr r="M73" s="1124"/>
      </tp>
      <tp t="s">
        <v>11/22/2024</v>
        <stp/>
        <stp>##V3_BDPV12</stp>
        <stp>US00432CCM10 mtge ISIN</stp>
        <stp>Maturity</stp>
        <stp>[GNMA Mtge Bonds &amp; Swap CF_generator_Mar2016.DUB.xlsm]Analysis - ignore!R11C13</stp>
        <tr r="M11" s="1124"/>
      </tp>
      <tp t="s">
        <v>#N/A N/A</v>
        <stp/>
        <stp>##V3_BDPV12</stp>
        <stp>US19458LBB53 mtge</stp>
        <stp>MTG WAL</stp>
        <stp>[GNMA Mtge Bonds &amp; Swap CF_generator_Mar2016.DUB.xlsm]Analysis - ignore!R47C10</stp>
        <stp xml:space="preserve">ALLOW_DYNAMIC_CASHFLOW_CALCS </stp>
        <stp>Y</stp>
        <stp>MTG PREPAY SPEED</stp>
        <stp>2</stp>
        <stp>MTG PREPAY TYP</stp>
        <stp>CPR</stp>
        <tr r="J47" s="1124"/>
      </tp>
      <tp t="s">
        <v>#N/A N/A</v>
        <stp/>
        <stp>##V3_BDPV12</stp>
        <stp>US00432CCM10 mtge</stp>
        <stp>MTG WAL</stp>
        <stp>[GNMA Mtge Bonds &amp; Swap CF_generator_Mar2016.DUB.xlsm]Analysis - ignore!R11C10</stp>
        <stp xml:space="preserve">ALLOW_DYNAMIC_CASHFLOW_CALCS </stp>
        <stp>Y</stp>
        <stp>MTG PREPAY SPEED</stp>
        <stp>0</stp>
        <stp>MTG PREPAY TYP</stp>
        <stp>CPR</stp>
        <tr r="J11" s="1124"/>
      </tp>
      <tp t="s">
        <v>11/25/2024</v>
        <stp/>
        <stp>##V3_BDPV12</stp>
        <stp>US38021AAB89 mtge ISIN</stp>
        <stp>Maturity</stp>
        <stp>[GNMA Mtge Bonds &amp; Swap CF_generator_Mar2016.DUB.xlsm]Analysis - ignore!R62C13</stp>
        <tr r="M62" s="1124"/>
      </tp>
      <tp t="s">
        <v>11/25/2024</v>
        <stp/>
        <stp>##V3_BDPV12</stp>
        <stp>US64032LAD38 mtge ISIN</stp>
        <stp>Maturity</stp>
        <stp>[GNMA Mtge Bonds &amp; Swap CF_generator_Mar2016.DUB.xlsm]Analysis - ignore!R95C13</stp>
        <tr r="M95" s="1124"/>
      </tp>
      <tp t="s">
        <v>4/25/2018</v>
        <stp/>
        <stp>##V3_BDPV12</stp>
        <stp>US00432CDN83 mtge ISIN</stp>
        <stp>Maturity</stp>
        <stp>[GNMA Mtge Bonds &amp; Swap CF_generator_Mar2016.DUB.xlsm]Analysis - ignore!R15C13</stp>
        <tr r="M15" s="1124"/>
      </tp>
      <tp t="s">
        <v>NSLT 2006-1 A5</v>
        <stp/>
        <stp>##V3_BDPV12</stp>
        <stp>US64031QCS84 mtge ISIN</stp>
        <stp>SECURITY DES</stp>
        <stp>[GNMA Mtge Bonds &amp; Swap CF_generator_Mar2016.DUB.xlsm]Analysis - ignore!R86C2</stp>
        <tr r="B86" s="1124"/>
      </tp>
      <tp t="s">
        <v>10/16/2039</v>
        <stp/>
        <stp>##V3_BLP</stp>
        <stp>US38373MK746 Mtge</stp>
        <stp>maturity</stp>
        <stp>[GNMA Mtge Bonds &amp; Swap CF_generator_Mar2016.DUB.xlsm]ISINS_&amp;_SWAPS!R12C23</stp>
        <tr r="W12" s="20"/>
      </tp>
      <tp t="s">
        <v>10/16/2039</v>
        <stp/>
        <stp>##V3_BLP</stp>
        <stp>US38373MK746 Mtge</stp>
        <stp>maturity</stp>
        <stp>[GNMA Mtge Bonds &amp; Swap CF_generator_Mar2016.DUB.xlsm]ISINS_&amp;_SWAPS!R25C23</stp>
        <tr r="W25" s="20"/>
      </tp>
      <tp t="s">
        <v>10/16/2039</v>
        <stp/>
        <stp>##V3_BLP</stp>
        <stp>US38373MK746 Mtge</stp>
        <stp>maturity</stp>
        <stp>[GNMA Mtge Bonds &amp; Swap CF_generator_Mar2016.DUB.xlsm]ISINS_&amp;_SWAPS!R24C23</stp>
        <tr r="W24" s="20"/>
      </tp>
      <tp t="s">
        <v>COLLE 2005-1 A3</v>
        <stp/>
        <stp>##V3_BDPV12</stp>
        <stp>US194262CJ84 mtge ISIN</stp>
        <stp>SECURITY DES</stp>
        <stp>[GNMA Mtge Bonds &amp; Swap CF_generator_Mar2016.DUB.xlsm]Analysis - ignore!R37C2</stp>
        <tr r="B37" s="1124"/>
      </tp>
      <tp t="s">
        <v>NSLT 2006-2 A5</v>
        <stp/>
        <stp>##V3_BDPV12</stp>
        <stp>US640315AE72 mtge ISIN</stp>
        <stp>SECURITY DES</stp>
        <stp>[GNMA Mtge Bonds &amp; Swap CF_generator_Mar2016.DUB.xlsm]Analysis - ignore!R78C2</stp>
        <tr r="B78" s="1124"/>
      </tp>
      <tp t="s">
        <v>NEF 2004-2 A3</v>
        <stp/>
        <stp>##V3_BDPV12</stp>
        <stp>US66704JBB35 mtge ISIN</stp>
        <stp>SECURITY DES</stp>
        <stp>[GNMA Mtge Bonds &amp; Swap CF_generator_Mar2016.DUB.xlsm]Analysis - ignore!R99C2</stp>
        <tr r="B99" s="1124"/>
      </tp>
      <tp t="s">
        <v>NSLT 2008-4 A4</v>
        <stp/>
        <stp>##V3_BDPV12</stp>
        <stp>US64032JAD81 mtge ISIN</stp>
        <stp>SECURITY DES</stp>
        <stp>[GNMA Mtge Bonds &amp; Swap CF_generator_Mar2016.DUB.xlsm]Analysis - ignore!R94C2</stp>
        <tr r="B94" s="1124"/>
      </tp>
      <tp t="s">
        <v>ALGI 2006-1A A2</v>
        <stp/>
        <stp>##V3_BDPV12</stp>
        <stp>US01551DAJ19 mtge ISIN</stp>
        <stp>SECURITY DES</stp>
        <stp>[GNMA Mtge Bonds &amp; Swap CF_generator_Mar2016.DUB.xlsm]Analysis - ignore!R18C2</stp>
        <tr r="B18" s="1124"/>
      </tp>
      <tp t="s">
        <v>3/25/2027</v>
        <stp/>
        <stp>##V3_BDPV12</stp>
        <stp>US64031AAE64 mtge ISIN</stp>
        <stp>Maturity</stp>
        <stp>[GNMA Mtge Bonds &amp; Swap CF_generator_Mar2016.DUB.xlsm]Analysis - ignore!R80C13</stp>
        <tr r="M80" s="1124"/>
      </tp>
      <tp t="s">
        <v>1/25/2023</v>
        <stp/>
        <stp>##V3_BDPV12</stp>
        <stp>US00432CDP32 mtge ISIN</stp>
        <stp>Maturity</stp>
        <stp>[GNMA Mtge Bonds &amp; Swap CF_generator_Mar2016.DUB.xlsm]Analysis - ignore!R16C13</stp>
        <tr r="M16" s="1124"/>
      </tp>
      <tp t="s">
        <v>GOAL 2005-2 A2</v>
        <stp/>
        <stp>##V3_BDPV12</stp>
        <stp>US38021AAB89 mtge ISIN</stp>
        <stp>SECURITY DES</stp>
        <stp>[GNMA Mtge Bonds &amp; Swap CF_generator_Mar2016.DUB.xlsm]Analysis - ignore!R62C2</stp>
        <tr r="B62" s="1124"/>
      </tp>
      <tp t="s">
        <v>GCOE 2006-1 A9L</v>
        <stp/>
        <stp>##V3_BDPV12</stp>
        <stp>US36156HAW88 mtge ISIN</stp>
        <stp>SECURITY DES</stp>
        <stp>[GNMA Mtge Bonds &amp; Swap CF_generator_Mar2016.DUB.xlsm]Analysis - ignore!R55C2</stp>
        <tr r="B55" s="1124"/>
      </tp>
      <tp t="s">
        <v>10/28/2026</v>
        <stp/>
        <stp>##V3_BDPV12</stp>
        <stp>US01551DAL64 mtge ISIN</stp>
        <stp>Maturity</stp>
        <stp>[GNMA Mtge Bonds &amp; Swap CF_generator_Mar2016.DUB.xlsm]Analysis - ignore!R20C13</stp>
        <tr r="M20" s="1124"/>
      </tp>
      <tp t="s">
        <v>6/22/2037</v>
        <stp/>
        <stp>##V3_BDPV12</stp>
        <stp>US00432CCG42 mtge ISIN</stp>
        <stp>Maturity</stp>
        <stp>[GNMA Mtge Bonds &amp; Swap CF_generator_Mar2016.DUB.xlsm]Analysis - ignore!R10C13</stp>
        <tr r="M10" s="1124"/>
      </tp>
      <tp t="s">
        <v>3/28/2035</v>
        <stp/>
        <stp>##V3_BDPV12</stp>
        <stp>US19458LBH24 mtge ISIN</stp>
        <stp>Maturity</stp>
        <stp>[GNMA Mtge Bonds &amp; Swap CF_generator_Mar2016.DUB.xlsm]Analysis - ignore!R50C13</stp>
        <tr r="M50" s="1124"/>
      </tp>
      <tp>
        <v>0.52</v>
        <stp/>
        <stp>##V3_BDPV12</stp>
        <stp>US66704JBB35 mtge</stp>
        <stp>MTG WAL</stp>
        <stp>[GNMA Mtge Bonds &amp; Swap CF_generator_Mar2016.DUB.xlsm]Analysis - ignore!R99C10</stp>
        <stp xml:space="preserve">ALLOW_DYNAMIC_CASHFLOW_CALCS </stp>
        <stp>Y</stp>
        <stp>MTG PREPAY SPEED</stp>
        <stp>3</stp>
        <stp>MTG PREPAY TYP</stp>
        <stp>CPR</stp>
        <tr r="J99" s="1124"/>
      </tp>
      <tp t="s">
        <v>#N/A N/A</v>
        <stp/>
        <stp>##V3_BDPV12</stp>
        <stp>US19458LBG41 mtge</stp>
        <stp>MTG WAL</stp>
        <stp>[GNMA Mtge Bonds &amp; Swap CF_generator_Mar2016.DUB.xlsm]Analysis - ignore!R49C10</stp>
        <stp xml:space="preserve">ALLOW_DYNAMIC_CASHFLOW_CALCS </stp>
        <stp>Y</stp>
        <stp>MTG PREPAY SPEED</stp>
        <stp>0</stp>
        <stp>MTG PREPAY TYP</stp>
        <stp>CPR</stp>
        <tr r="J49" s="1124"/>
      </tp>
      <tp t="s">
        <v>NSLC 2004-1A A2</v>
        <stp/>
        <stp>##V3_BDPV12</stp>
        <stp>US64031RAS85 mtge ISIN</stp>
        <stp>SECURITY DES</stp>
        <stp>[GNMA Mtge Bonds &amp; Swap CF_generator_Mar2016.DUB.xlsm]Analysis - ignore!R87C2</stp>
        <tr r="B87" s="1124"/>
      </tp>
      <tp t="s">
        <v>#N/A N/A</v>
        <stp/>
        <stp>##V3_BDPV12</stp>
        <stp>US00432CCG42 mtge</stp>
        <stp>MTG WAL</stp>
        <stp>[GNMA Mtge Bonds &amp; Swap CF_generator_Mar2016.DUB.xlsm]Analysis - ignore!R10C10</stp>
        <stp xml:space="preserve">ALLOW_DYNAMIC_CASHFLOW_CALCS </stp>
        <stp>Y</stp>
        <stp>MTG PREPAY SPEED</stp>
        <stp>0</stp>
        <stp>MTG PREPAY TYP</stp>
        <stp>CPR</stp>
        <tr r="J10" s="1124"/>
      </tp>
      <tp t="s">
        <v>8/16/2035</v>
        <stp/>
        <stp>##V3_BLP</stp>
        <stp>US38373MSC54 Mtge</stp>
        <stp>maturity</stp>
        <stp>[GNMA Mtge Bonds &amp; Swap CF_generator_Mar2016.DUB.xlsm]ISINS_&amp;_SWAPS!R10C23</stp>
        <tr r="W10" s="20"/>
      </tp>
      <tp t="s">
        <v>8/16/2035</v>
        <stp/>
        <stp>##V3_BLP</stp>
        <stp>US38373MSC54 Mtge</stp>
        <stp>maturity</stp>
        <stp>[GNMA Mtge Bonds &amp; Swap CF_generator_Mar2016.DUB.xlsm]ISINS_&amp;_SWAPS!R21C23</stp>
        <tr r="W21" s="20"/>
      </tp>
      <tp t="s">
        <v>8/16/2035</v>
        <stp/>
        <stp>##V3_BLP</stp>
        <stp>US38373MSC54 Mtge</stp>
        <stp>maturity</stp>
        <stp>[GNMA Mtge Bonds &amp; Swap CF_generator_Mar2016.DUB.xlsm]ISINS_&amp;_SWAPS!R20C23</stp>
        <tr r="W20" s="20"/>
      </tp>
      <tp t="s">
        <v>10/16/2038</v>
        <stp/>
        <stp>##V3_BLP</stp>
        <stp>US38374MEF23 Mtge</stp>
        <stp>maturity</stp>
        <stp>[GNMA Mtge Bonds &amp; Swap CF_generator_Mar2016.DUB.xlsm]ISINS_&amp;_SWAPS!R18C23</stp>
        <tr r="W18" s="20"/>
      </tp>
      <tp t="s">
        <v>10/16/2038</v>
        <stp/>
        <stp>##V3_BLP</stp>
        <stp>US38374MEF23 Mtge</stp>
        <stp>maturity</stp>
        <stp>[GNMA Mtge Bonds &amp; Swap CF_generator_Mar2016.DUB.xlsm]ISINS_&amp;_SWAPS!R19C23</stp>
        <tr r="W19" s="20"/>
      </tp>
      <tp t="s">
        <v>COLLE 2006-1 A4</v>
        <stp/>
        <stp>##V3_BDPV12</stp>
        <stp>US194262CR01 mtge ISIN</stp>
        <stp>SECURITY DES</stp>
        <stp>[GNMA Mtge Bonds &amp; Swap CF_generator_Mar2016.DUB.xlsm]Analysis - ignore!R40C2</stp>
        <tr r="B40" s="1124"/>
      </tp>
      <tp t="s">
        <v>COLLE 2005-2 A4</v>
        <stp/>
        <stp>##V3_BDPV12</stp>
        <stp>US194266AD47 mtge ISIN</stp>
        <stp>SECURITY DES</stp>
        <stp>[GNMA Mtge Bonds &amp; Swap CF_generator_Mar2016.DUB.xlsm]Analysis - ignore!R44C2</stp>
        <tr r="B44" s="1124"/>
      </tp>
      <tp t="s">
        <v>MHESA 2005-1 B</v>
        <stp/>
        <stp>##V3_BDPV12</stp>
        <stp>US612130HN76 mtge ISIN</stp>
        <stp>SECURITY DES</stp>
        <stp>[GNMA Mtge Bonds &amp; Swap CF_generator_Mar2016.DUB.xlsm]Analysis - ignore!R75C2</stp>
        <tr r="B75" s="1124"/>
      </tp>
      <tp t="s">
        <v>GOAL 2005-2 A3</v>
        <stp/>
        <stp>##V3_BDPV12</stp>
        <stp>US38021AAC62 mtge ISIN</stp>
        <stp>SECURITY DES</stp>
        <stp>[GNMA Mtge Bonds &amp; Swap CF_generator_Mar2016.DUB.xlsm]Analysis - ignore!R63C2</stp>
        <tr r="B63" s="1124"/>
      </tp>
      <tp t="s">
        <v>9/25/2028</v>
        <stp/>
        <stp>##V3_BDPV12</stp>
        <stp>US38021DAC02 mtge ISIN</stp>
        <stp>Maturity</stp>
        <stp>[GNMA Mtge Bonds &amp; Swap CF_generator_Mar2016.DUB.xlsm]Analysis - ignore!R68C13</stp>
        <tr r="M68" s="1124"/>
      </tp>
      <tp t="s">
        <v>ACCSS 2007-1 A4</v>
        <stp/>
        <stp>##V3_BDPV12</stp>
        <stp>US00432CDP32 mtge ISIN</stp>
        <stp>SECURITY DES</stp>
        <stp>[GNMA Mtge Bonds &amp; Swap CF_generator_Mar2016.DUB.xlsm]Analysis - ignore!R16C2</stp>
        <tr r="B16" s="1124"/>
      </tp>
      <tp t="s">
        <v>ALGI 2006-1A A4</v>
        <stp/>
        <stp>##V3_BDPV12</stp>
        <stp>US01551DAL64 mtge ISIN</stp>
        <stp>SECURITY DES</stp>
        <stp>[GNMA Mtge Bonds &amp; Swap CF_generator_Mar2016.DUB.xlsm]Analysis - ignore!R20C2</stp>
        <tr r="B20" s="1124"/>
      </tp>
      <tp t="s">
        <v>GOAL 2007-1 A2</v>
        <stp/>
        <stp>##V3_BDPV12</stp>
        <stp>US38021DAB29 mtge ISIN</stp>
        <stp>SECURITY DES</stp>
        <stp>[GNMA Mtge Bonds &amp; Swap CF_generator_Mar2016.DUB.xlsm]Analysis - ignore!R67C2</stp>
        <tr r="B67" s="1124"/>
      </tp>
      <tp t="s">
        <v>4/28/2016</v>
        <stp/>
        <stp>##V3_BDPV12</stp>
        <stp>US66704JAZ12 mtge ISIN</stp>
        <stp>Maturity</stp>
        <stp>[GNMA Mtge Bonds &amp; Swap CF_generator_Mar2016.DUB.xlsm]Analysis - ignore!R97C13</stp>
        <tr r="M97" s="1124"/>
      </tp>
      <tp t="s">
        <v>GCOE 2006-2A A2L</v>
        <stp/>
        <stp>##V3_BDPV12</stp>
        <stp>US36156YAC57 mtge ISIN</stp>
        <stp>SECURITY DES</stp>
        <stp>[GNMA Mtge Bonds &amp; Swap CF_generator_Mar2016.DUB.xlsm]Analysis - ignore!R57C2</stp>
        <tr r="B57" s="1124"/>
      </tp>
      <tp t="s">
        <v>ELI 2005-1 A3</v>
        <stp/>
        <stp>##V3_BDPV12</stp>
        <stp>US280907BW52 mtge ISIN</stp>
        <stp>SECURITY DES</stp>
        <stp>[GNMA Mtge Bonds &amp; Swap CF_generator_Mar2016.DUB.xlsm]Analysis - ignore!R51C2</stp>
        <tr r="B51" s="1124"/>
      </tp>
      <tp t="s">
        <v>COLLE 2007-1 A2</v>
        <stp/>
        <stp>##V3_BDPV12</stp>
        <stp>US194268AB47 mtge ISIN</stp>
        <stp>SECURITY DES</stp>
        <stp>[GNMA Mtge Bonds &amp; Swap CF_generator_Mar2016.DUB.xlsm]Analysis - ignore!R45C2</stp>
        <tr r="B45" s="1124"/>
      </tp>
      <tp t="s">
        <v>KSLT 2005-A 1A2</v>
        <stp/>
        <stp>##V3_BDPV12</stp>
        <stp>US493268CD64 mtge ISIN</stp>
        <stp>SECURITY DES</stp>
        <stp>[GNMA Mtge Bonds &amp; Swap CF_generator_Mar2016.DUB.xlsm]Analysis - ignore!R72C2</stp>
        <tr r="B72" s="1124"/>
      </tp>
      <tp t="s">
        <v>GOAL 2006-1 A4</v>
        <stp/>
        <stp>##V3_BDPV12</stp>
        <stp>US38021BAD29 mtge ISIN</stp>
        <stp>SECURITY DES</stp>
        <stp>[GNMA Mtge Bonds &amp; Swap CF_generator_Mar2016.DUB.xlsm]Analysis - ignore!R66C2</stp>
        <tr r="B66" s="1124"/>
      </tp>
      <tp t="s">
        <v>8/25/2044</v>
        <stp/>
        <stp>##V3_BDPV12</stp>
        <stp>US38021AAD46 mtge ISIN</stp>
        <stp>Maturity</stp>
        <stp>[GNMA Mtge Bonds &amp; Swap CF_generator_Mar2016.DUB.xlsm]Analysis - ignore!R64C13</stp>
        <tr r="M64" s="1124"/>
      </tp>
      <tp t="s">
        <v>4/25/2024</v>
        <stp/>
        <stp>##V3_BDPV12</stp>
        <stp>US64032JAD81 mtge ISIN</stp>
        <stp>Maturity</stp>
        <stp>[GNMA Mtge Bonds &amp; Swap CF_generator_Mar2016.DUB.xlsm]Analysis - ignore!R94C13</stp>
        <tr r="M94" s="1124"/>
      </tp>
      <tp t="s">
        <v>5/27/2024</v>
        <stp/>
        <stp>##V3_BDPV12</stp>
        <stp>US36156HAQ11 mtge ISIN</stp>
        <stp>Maturity</stp>
        <stp>[GNMA Mtge Bonds &amp; Swap CF_generator_Mar2016.DUB.xlsm]Analysis - ignore!R54C13</stp>
        <tr r="M54" s="1124"/>
      </tp>
      <tp t="s">
        <v>2/27/2028</v>
        <stp/>
        <stp>##V3_BDPV12</stp>
        <stp>US36156HAX61 mtge ISIN</stp>
        <stp>Maturity</stp>
        <stp>[GNMA Mtge Bonds &amp; Swap CF_generator_Mar2016.DUB.xlsm]Analysis - ignore!R56C13</stp>
        <tr r="M56" s="1124"/>
      </tp>
      <tp t="s">
        <v>ACCSS 2005-1 A4</v>
        <stp/>
        <stp>##V3_BDPV12</stp>
        <stp>US00432CCG42 mtge ISIN</stp>
        <stp>SECURITY DES</stp>
        <stp>[GNMA Mtge Bonds &amp; Swap CF_generator_Mar2016.DUB.xlsm]Analysis - ignore!R10C2</stp>
        <tr r="B10" s="1124"/>
      </tp>
      <tp t="s">
        <v>KSLT 2006-A 1A2</v>
        <stp/>
        <stp>##V3_BDPV12</stp>
        <stp>US49327HAB15 mtge ISIN</stp>
        <stp>SECURITY DES</stp>
        <stp>[GNMA Mtge Bonds &amp; Swap CF_generator_Mar2016.DUB.xlsm]Analysis - ignore!R74C2</stp>
        <tr r="B74" s="1124"/>
      </tp>
      <tp t="s">
        <v>NSLT 2006-3 A4</v>
        <stp/>
        <stp>##V3_BDPV12</stp>
        <stp>US64031AAD81 mtge ISIN</stp>
        <stp>SECURITY DES</stp>
        <stp>[GNMA Mtge Bonds &amp; Swap CF_generator_Mar2016.DUB.xlsm]Analysis - ignore!R79C2</stp>
        <tr r="B79" s="1124"/>
      </tp>
      <tp>
        <v>11.49</v>
        <stp/>
        <stp>##V3_BDPV12</stp>
        <stp>US38021DAD84 mtge</stp>
        <stp>MTG WAL</stp>
        <stp>[GNMA Mtge Bonds &amp; Swap CF_generator_Mar2016.DUB.xlsm]Analysis - ignore!R69C10</stp>
        <stp xml:space="preserve">ALLOW_DYNAMIC_CASHFLOW_CALCS </stp>
        <stp>Y</stp>
        <stp>MTG PREPAY SPEED</stp>
        <stp>2</stp>
        <stp>MTG PREPAY TYP</stp>
        <stp>CPR</stp>
        <tr r="J69" s="1124"/>
      </tp>
      <tp t="s">
        <v>CITEL 2005-1 A3</v>
        <stp/>
        <stp>##V3_BDPV12</stp>
        <stp>US12556PAC14 mtge ISIN</stp>
        <stp>SECURITY DES</stp>
        <stp>[GNMA Mtge Bonds &amp; Swap CF_generator_Mar2016.DUB.xlsm]Analysis - ignore!R30C2</stp>
        <tr r="B30" s="1124"/>
      </tp>
      <tp t="s">
        <v>#N/A N/A</v>
        <stp/>
        <stp>##V3_BDPV12</stp>
        <stp>US38021BAB62 mtge</stp>
        <stp>MTG WAL</stp>
        <stp>[GNMA Mtge Bonds &amp; Swap CF_generator_Mar2016.DUB.xlsm]Analysis - ignore!R65C10</stp>
        <stp xml:space="preserve">ALLOW_DYNAMIC_CASHFLOW_CALCS </stp>
        <stp>Y</stp>
        <stp>MTG PREPAY SPEED</stp>
        <stp>0</stp>
        <stp>MTG PREPAY TYP</stp>
        <stp>CPR</stp>
        <tr r="J65" s="1124"/>
      </tp>
      <tp t="s">
        <v>#N/A N/A</v>
        <stp/>
        <stp>##V3_BDPV12</stp>
        <stp>US17284LAA26 mtge</stp>
        <stp>MTG WAL</stp>
        <stp>[GNMA Mtge Bonds &amp; Swap CF_generator_Mar2016.DUB.xlsm]Analysis - ignore!R35C10</stp>
        <stp xml:space="preserve">ALLOW_DYNAMIC_CASHFLOW_CALCS </stp>
        <stp>Y</stp>
        <stp>MTG PREPAY SPEED</stp>
        <stp>0</stp>
        <stp>MTG PREPAY TYP</stp>
        <stp>CPR</stp>
        <tr r="J35" s="1124"/>
      </tp>
      <tp t="s">
        <v>6/16/2016</v>
        <stp/>
        <stp>##V3_BLP</stp>
        <stp>US38373MSC54 Mtge</stp>
        <stp>prev_cpn_dt</stp>
        <stp>[GNMA Mtge Bonds &amp; Swap CF_generator_Mar2016.DUB.xlsm]ISINS_&amp;_SWAPS!R10C18</stp>
        <tr r="R10" s="20"/>
      </tp>
      <tp t="s">
        <v>6/16/2016</v>
        <stp/>
        <stp>##V3_BLP</stp>
        <stp>US38373MSC54 Mtge</stp>
        <stp>prev_cpn_dt</stp>
        <stp>[GNMA Mtge Bonds &amp; Swap CF_generator_Mar2016.DUB.xlsm]ISINS_&amp;_SWAPS!R21C18</stp>
        <tr r="R21" s="20"/>
      </tp>
      <tp t="s">
        <v>6/16/2016</v>
        <stp/>
        <stp>##V3_BLP</stp>
        <stp>US38373MSC54 Mtge</stp>
        <stp>prev_cpn_dt</stp>
        <stp>[GNMA Mtge Bonds &amp; Swap CF_generator_Mar2016.DUB.xlsm]ISINS_&amp;_SWAPS!R20C18</stp>
        <tr r="R20" s="20"/>
      </tp>
      <tp t="s">
        <v>GCOE 2006-1 A10L</v>
        <stp/>
        <stp>##V3_BDPV12</stp>
        <stp>US36156HAX61 mtge ISIN</stp>
        <stp>SECURITY DES</stp>
        <stp>[GNMA Mtge Bonds &amp; Swap CF_generator_Mar2016.DUB.xlsm]Analysis - ignore!R56C2</stp>
        <tr r="B56" s="1124"/>
      </tp>
      <tp t="s">
        <v>BRHEA 2005-3 A15</v>
        <stp/>
        <stp>##V3_BDPV12</stp>
        <stp>US10620NAJ72 mtge ISIN</stp>
        <stp>SECURITY DES</stp>
        <stp>[GNMA Mtge Bonds &amp; Swap CF_generator_Mar2016.DUB.xlsm]Analysis - ignore!R23C2</stp>
        <tr r="B23" s="1124"/>
      </tp>
      <tp t="s">
        <v>CPJ</v>
        <stp/>
        <stp>##V3_BLP</stp>
        <stp>US38373MSC54 Mtge</stp>
        <stp>mtg_prepay_typ</stp>
        <stp>[GNMA Mtge Bonds &amp; Swap CF_generator_Mar2016.DUB.xlsm]ISINS_&amp;_SWAPS!R21C22</stp>
        <tr r="V21" s="20"/>
      </tp>
      <tp t="s">
        <v>CPJ</v>
        <stp/>
        <stp>##V3_BLP</stp>
        <stp>US38373MSC54 Mtge</stp>
        <stp>mtg_prepay_typ</stp>
        <stp>[GNMA Mtge Bonds &amp; Swap CF_generator_Mar2016.DUB.xlsm]ISINS_&amp;_SWAPS!R20C22</stp>
        <tr r="V20" s="20"/>
      </tp>
      <tp t="s">
        <v>CPJ</v>
        <stp/>
        <stp>##V3_BLP</stp>
        <stp>US38373MSC54 Mtge</stp>
        <stp>mtg_prepay_typ</stp>
        <stp>[GNMA Mtge Bonds &amp; Swap CF_generator_Mar2016.DUB.xlsm]ISINS_&amp;_SWAPS!R10C22</stp>
        <tr r="V10" s="20"/>
      </tp>
      <tp t="s">
        <v>GCOE 2005-2 A5L</v>
        <stp/>
        <stp>##V3_BDPV12</stp>
        <stp>US36156HAP38 mtge ISIN</stp>
        <stp>SECURITY DES</stp>
        <stp>[GNMA Mtge Bonds &amp; Swap CF_generator_Mar2016.DUB.xlsm]Analysis - ignore!R53C2</stp>
        <tr r="B53" s="1124"/>
      </tp>
      <tp t="s">
        <v>4/28/2020</v>
        <stp/>
        <stp>##V3_BDPV12</stp>
        <stp>US01551DAJ19 mtge ISIN</stp>
        <stp>Maturity</stp>
        <stp>[GNMA Mtge Bonds &amp; Swap CF_generator_Mar2016.DUB.xlsm]Analysis - ignore!R18C13</stp>
        <tr r="M18" s="1124"/>
      </tp>
      <tp t="s">
        <v>ACCSS 2006-1 A2</v>
        <stp/>
        <stp>##V3_BDPV12</stp>
        <stp>US00432CDB46 mtge ISIN</stp>
        <stp>SECURITY DES</stp>
        <stp>[GNMA Mtge Bonds &amp; Swap CF_generator_Mar2016.DUB.xlsm]Analysis - ignore!R13C2</stp>
        <tr r="B13" s="1124"/>
      </tp>
      <tp t="s">
        <v>3/25/2025</v>
        <stp/>
        <stp>##V3_BDPV12</stp>
        <stp>US10620NAJ72 mtge ISIN</stp>
        <stp>Maturity</stp>
        <stp>[GNMA Mtge Bonds &amp; Swap CF_generator_Mar2016.DUB.xlsm]Analysis - ignore!R23C13</stp>
        <tr r="M23" s="1124"/>
      </tp>
      <tp t="s">
        <v>#N/A N/A</v>
        <stp/>
        <stp>##V3_BDPV12</stp>
        <stp>US01551DAJ19 mtge</stp>
        <stp>MTG WAL</stp>
        <stp>[GNMA Mtge Bonds &amp; Swap CF_generator_Mar2016.DUB.xlsm]Analysis - ignore!R18C10</stp>
        <stp xml:space="preserve">ALLOW_DYNAMIC_CASHFLOW_CALCS </stp>
        <stp>Y</stp>
        <stp>MTG PREPAY SPEED</stp>
        <stp>0</stp>
        <stp>MTG PREPAY TYP</stp>
        <stp>CPR</stp>
        <tr r="J18" s="1124"/>
      </tp>
      <tp t="s">
        <v>#N/A N/A</v>
        <stp/>
        <stp>##V3_BDPV12</stp>
        <stp>US38021AAC62 mtge</stp>
        <stp>MTG WAL</stp>
        <stp>[GNMA Mtge Bonds &amp; Swap CF_generator_Mar2016.DUB.xlsm]Analysis - ignore!R63C10</stp>
        <stp xml:space="preserve">ALLOW_DYNAMIC_CASHFLOW_CALCS </stp>
        <stp>Y</stp>
        <stp>MTG PREPAY SPEED</stp>
        <stp>0</stp>
        <stp>MTG PREPAY TYP</stp>
        <stp>CPR</stp>
        <tr r="J63" s="1124"/>
      </tp>
      <tp t="s">
        <v>NSLT 2005-1 A5</v>
        <stp/>
        <stp>##V3_BDPV12</stp>
        <stp>US64031QBR11 mtge ISIN</stp>
        <stp>SECURITY DES</stp>
        <stp>[GNMA Mtge Bonds &amp; Swap CF_generator_Mar2016.DUB.xlsm]Analysis - ignore!R83C2</stp>
        <tr r="B83" s="1124"/>
      </tp>
      <tp t="s">
        <v>GOVERNMENT NATIONAL MORTGAGE A</v>
        <stp/>
        <stp>##V3_BLP</stp>
        <stp>US38374MEF23 Mtge</stp>
        <stp>issuer</stp>
        <stp>[GNMA Mtge Bonds &amp; Swap CF_generator_Mar2016.DUB.xlsm]ISINS_&amp;_SWAPS!R9C10</stp>
        <tr r="J9" s="20"/>
      </tp>
      <tp t="s">
        <v>FELMC 2002-1 A1</v>
        <stp/>
        <stp>##V3_BDPV12</stp>
        <stp>US340640AE18 mtge ISIN</stp>
        <stp>SECURITY DES</stp>
        <stp>[GNMA Mtge Bonds &amp; Swap CF_generator_Mar2016.DUB.xlsm]Analysis - ignore!R52C2</stp>
        <tr r="B52" s="1124"/>
      </tp>
      <tp t="s">
        <v>ACCSS 2006-1 A3</v>
        <stp/>
        <stp>##V3_BDPV12</stp>
        <stp>US00432CDC29 mtge ISIN</stp>
        <stp>SECURITY DES</stp>
        <stp>[GNMA Mtge Bonds &amp; Swap CF_generator_Mar2016.DUB.xlsm]Analysis - ignore!R14C2</stp>
        <tr r="B14" s="1124"/>
      </tp>
      <tp t="s">
        <v>NEF 2004-2 A1</v>
        <stp/>
        <stp>##V3_BDPV12</stp>
        <stp>US66704JAZ12 mtge ISIN</stp>
        <stp>SECURITY DES</stp>
        <stp>[GNMA Mtge Bonds &amp; Swap CF_generator_Mar2016.DUB.xlsm]Analysis - ignore!R97C2</stp>
        <tr r="B97" s="1124"/>
      </tp>
      <tp t="s">
        <v>BRHEA 2006-1 A3</v>
        <stp/>
        <stp>##V3_BDPV12</stp>
        <stp>US10620NAP33 mtge ISIN</stp>
        <stp>SECURITY DES</stp>
        <stp>[GNMA Mtge Bonds &amp; Swap CF_generator_Mar2016.DUB.xlsm]Analysis - ignore!R26C2</stp>
        <tr r="B26" s="1124"/>
      </tp>
      <tp t="s">
        <v>ACCSS 2005-2 A4</v>
        <stp/>
        <stp>##V3_BDPV12</stp>
        <stp>US00432CCP41 mtge ISIN</stp>
        <stp>SECURITY DES</stp>
        <stp>[GNMA Mtge Bonds &amp; Swap CF_generator_Mar2016.DUB.xlsm]Analysis - ignore!R12C2</stp>
        <tr r="B12" s="1124"/>
      </tp>
      <tp t="s">
        <v>3/25/2042</v>
        <stp/>
        <stp>##V3_BDPV12</stp>
        <stp>US17284LAA26 mtge ISIN</stp>
        <stp>Maturity</stp>
        <stp>[GNMA Mtge Bonds &amp; Swap CF_generator_Mar2016.DUB.xlsm]Analysis - ignore!R35C13</stp>
        <tr r="M35" s="1124"/>
      </tp>
      <tp t="s">
        <v>1/30/2017</v>
        <stp/>
        <stp>##V3_BDPV12</stp>
        <stp>US66704JBA51 mtge ISIN</stp>
        <stp>Maturity</stp>
        <stp>[GNMA Mtge Bonds &amp; Swap CF_generator_Mar2016.DUB.xlsm]Analysis - ignore!R98C13</stp>
        <tr r="M98" s="1124"/>
      </tp>
      <tp t="s">
        <v>12/26/2024</v>
        <stp/>
        <stp>##V3_BDPV12</stp>
        <stp>US10620NAP33 mtge ISIN</stp>
        <stp>Maturity</stp>
        <stp>[GNMA Mtge Bonds &amp; Swap CF_generator_Mar2016.DUB.xlsm]Analysis - ignore!R26C13</stp>
        <tr r="M26" s="1124"/>
      </tp>
      <tp t="s">
        <v>COELT 2005-B A3</v>
        <stp/>
        <stp>##V3_BDPV12</stp>
        <stp>US19458LBG41 mtge ISIN</stp>
        <stp>SECURITY DES</stp>
        <stp>[GNMA Mtge Bonds &amp; Swap CF_generator_Mar2016.DUB.xlsm]Analysis - ignore!R49C2</stp>
        <tr r="B49" s="1124"/>
      </tp>
      <tp t="s">
        <v>#N/A N/A</v>
        <stp/>
        <stp>##V3_BDPV12</stp>
        <stp>US64032GAB86 mtge</stp>
        <stp>MTG WAL</stp>
        <stp>[GNMA Mtge Bonds &amp; Swap CF_generator_Mar2016.DUB.xlsm]Analysis - ignore!R92C10</stp>
        <stp xml:space="preserve">ALLOW_DYNAMIC_CASHFLOW_CALCS </stp>
        <stp>Y</stp>
        <stp>MTG PREPAY SPEED</stp>
        <stp>0</stp>
        <stp>MTG PREPAY TYP</stp>
        <stp>CPR</stp>
        <tr r="J92" s="1124"/>
      </tp>
      <tp t="s">
        <v>COLLE 2006-1 A6</v>
        <stp/>
        <stp>##V3_BDPV12</stp>
        <stp>US194262CT66 mtge ISIN</stp>
        <stp>SECURITY DES</stp>
        <stp>[GNMA Mtge Bonds &amp; Swap CF_generator_Mar2016.DUB.xlsm]Analysis - ignore!R42C2</stp>
        <tr r="B42" s="1124"/>
      </tp>
      <tp t="s">
        <v>COLLE 2005-1 A2</v>
        <stp/>
        <stp>##V3_BDPV12</stp>
        <stp>US194262CH29 mtge ISIN</stp>
        <stp>SECURITY DES</stp>
        <stp>[GNMA Mtge Bonds &amp; Swap CF_generator_Mar2016.DUB.xlsm]Analysis - ignore!R36C2</stp>
        <tr r="B36" s="1124"/>
      </tp>
      <tp t="s">
        <v>GOAL 2007-1 A4</v>
        <stp/>
        <stp>##V3_BDPV12</stp>
        <stp>US38021DAD84 mtge ISIN</stp>
        <stp>SECURITY DES</stp>
        <stp>[GNMA Mtge Bonds &amp; Swap CF_generator_Mar2016.DUB.xlsm]Analysis - ignore!R69C2</stp>
        <tr r="B69" s="1124"/>
      </tp>
      <tp t="s">
        <v>KSLT 2006-A 1A1</v>
        <stp/>
        <stp>##V3_BDPV12</stp>
        <stp>US49327HAA32 mtge ISIN</stp>
        <stp>SECURITY DES</stp>
        <stp>[GNMA Mtge Bonds &amp; Swap CF_generator_Mar2016.DUB.xlsm]Analysis - ignore!R73C2</stp>
        <tr r="B73" s="1124"/>
      </tp>
      <tp t="s">
        <v>5/25/2020</v>
        <stp/>
        <stp>##V3_BDPV12</stp>
        <stp>US64032GAC69 mtge ISIN</stp>
        <stp>Maturity</stp>
        <stp>[GNMA Mtge Bonds &amp; Swap CF_generator_Mar2016.DUB.xlsm]Analysis - ignore!R93C13</stp>
        <tr r="M93" s="1124"/>
      </tp>
      <tp t="s">
        <v>8/25/2037</v>
        <stp/>
        <stp>##V3_BDPV12</stp>
        <stp>US00432CDC29 mtge ISIN</stp>
        <stp>Maturity</stp>
        <stp>[GNMA Mtge Bonds &amp; Swap CF_generator_Mar2016.DUB.xlsm]Analysis - ignore!R14C13</stp>
        <tr r="M14" s="1124"/>
      </tp>
      <tp t="s">
        <v>ALGI 2006-1A A1</v>
        <stp/>
        <stp>##V3_BDPV12</stp>
        <stp>US01551DAH52 mtge ISIN</stp>
        <stp>SECURITY DES</stp>
        <stp>[GNMA Mtge Bonds &amp; Swap CF_generator_Mar2016.DUB.xlsm]Analysis - ignore!R17C2</stp>
        <tr r="B17" s="1124"/>
      </tp>
      <tp t="s">
        <v>6/25/2023</v>
        <stp/>
        <stp>##V3_BDPV12</stp>
        <stp>US10620NAN84 mtge ISIN</stp>
        <stp>Maturity</stp>
        <stp>[GNMA Mtge Bonds &amp; Swap CF_generator_Mar2016.DUB.xlsm]Analysis - ignore!R25C13</stp>
        <tr r="M25" s="1124"/>
      </tp>
      <tp t="s">
        <v>CEDLT 2007-A A3</v>
        <stp/>
        <stp>##V3_BDPV12</stp>
        <stp>US16151UAC09 mtge ISIN</stp>
        <stp>SECURITY DES</stp>
        <stp>[GNMA Mtge Bonds &amp; Swap CF_generator_Mar2016.DUB.xlsm]Analysis - ignore!R33C2</stp>
        <tr r="B33" s="1124"/>
      </tp>
      <tp t="s">
        <v>GCOE 2007-1A A6L</v>
        <stp/>
        <stp>##V3_BDPV12</stp>
        <stp>US36156YAP60 mtge ISIN</stp>
        <stp>SECURITY DES</stp>
        <stp>[GNMA Mtge Bonds &amp; Swap CF_generator_Mar2016.DUB.xlsm]Analysis - ignore!R60C2</stp>
        <tr r="B60" s="1124"/>
      </tp>
      <tp t="s">
        <v>NSLT 2005-3 A5</v>
        <stp/>
        <stp>##V3_BDPV12</stp>
        <stp>US64031QCD16 mtge ISIN</stp>
        <stp>SECURITY DES</stp>
        <stp>[GNMA Mtge Bonds &amp; Swap CF_generator_Mar2016.DUB.xlsm]Analysis - ignore!R85C2</stp>
        <tr r="B85" s="1124"/>
      </tp>
      <tp t="s">
        <v>NSLT 2004-4 A5</v>
        <stp/>
        <stp>##V3_BDPV12</stp>
        <stp>US64031QBK67 mtge ISIN</stp>
        <stp>SECURITY DES</stp>
        <stp>[GNMA Mtge Bonds &amp; Swap CF_generator_Mar2016.DUB.xlsm]Analysis - ignore!R82C2</stp>
        <tr r="B82" s="1124"/>
      </tp>
      <tp t="s">
        <v>#N/A N/A</v>
        <stp/>
        <stp>##V3_BDPV12</stp>
        <stp>US00432CDC29 mtge</stp>
        <stp>MTG WAL</stp>
        <stp>[GNMA Mtge Bonds &amp; Swap CF_generator_Mar2016.DUB.xlsm]Analysis - ignore!R14C10</stp>
        <stp xml:space="preserve">ALLOW_DYNAMIC_CASHFLOW_CALCS </stp>
        <stp>Y</stp>
        <stp>MTG PREPAY SPEED</stp>
        <stp>0</stp>
        <stp>MTG PREPAY TYP</stp>
        <stp>CPR</stp>
        <tr r="J14" s="1124"/>
      </tp>
      <tp t="s">
        <v>#N/A N/A</v>
        <stp/>
        <stp>##V3_BDPV12</stp>
        <stp>US001621AA96 mtge</stp>
        <stp>MTG WAL</stp>
        <stp>[GNMA Mtge Bonds &amp; Swap CF_generator_Mar2016.DUB.xlsm]Analysis - ignore!R6C10</stp>
        <stp xml:space="preserve">ALLOW_DYNAMIC_CASHFLOW_CALCS </stp>
        <stp>Y</stp>
        <stp>MTG PREPAY SPEED</stp>
        <stp>30</stp>
        <stp>MTG PREPAY TYP</stp>
        <stp>CPR</stp>
        <tr r="J6" s="1124"/>
      </tp>
      <tp t="s">
        <v>6/16/2016</v>
        <stp/>
        <stp>##V3_BLP</stp>
        <stp>US38374MEF23 Mtge</stp>
        <stp>prev_cpn_dt</stp>
        <stp>[GNMA Mtge Bonds &amp; Swap CF_generator_Mar2016.DUB.xlsm]ISINS_&amp;_SWAPS!R19C18</stp>
        <tr r="R19" s="20"/>
      </tp>
      <tp t="s">
        <v>6/16/2016</v>
        <stp/>
        <stp>##V3_BLP</stp>
        <stp>US38374MEF23 Mtge</stp>
        <stp>prev_cpn_dt</stp>
        <stp>[GNMA Mtge Bonds &amp; Swap CF_generator_Mar2016.DUB.xlsm]ISINS_&amp;_SWAPS!R18C18</stp>
        <tr r="R18" s="20"/>
      </tp>
      <tp t="s">
        <v>AELMC 2003-C C1</v>
        <stp/>
        <stp>##V3_BDPV12</stp>
        <stp>US040504FK32 mtge ISIN</stp>
        <stp>SECURITY DES</stp>
        <stp>[GNMA Mtge Bonds &amp; Swap CF_generator_Mar2016.DUB.xlsm]Analysis - ignore!R21C2</stp>
        <tr r="B21" s="1124"/>
      </tp>
      <tp t="s">
        <v>GOAL 2005-2 A4</v>
        <stp/>
        <stp>##V3_BDPV12</stp>
        <stp>US38021AAD46 mtge ISIN</stp>
        <stp>SECURITY DES</stp>
        <stp>[GNMA Mtge Bonds &amp; Swap CF_generator_Mar2016.DUB.xlsm]Analysis - ignore!R64C2</stp>
        <tr r="B64" s="1124"/>
      </tp>
      <tp t="s">
        <v>CITEL 2007-1 A</v>
        <stp/>
        <stp>##V3_BDPV12</stp>
        <stp>US17284LAA26 mtge ISIN</stp>
        <stp>SECURITY DES</stp>
        <stp>[GNMA Mtge Bonds &amp; Swap CF_generator_Mar2016.DUB.xlsm]Analysis - ignore!R35C2</stp>
        <tr r="B35" s="1124"/>
      </tp>
      <tp t="s">
        <v>ACCSS 2005-2 A3</v>
        <stp/>
        <stp>##V3_BDPV12</stp>
        <stp>US00432CCM10 mtge ISIN</stp>
        <stp>SECURITY DES</stp>
        <stp>[GNMA Mtge Bonds &amp; Swap CF_generator_Mar2016.DUB.xlsm]Analysis - ignore!R11C2</stp>
        <tr r="B11" s="1124"/>
      </tp>
      <tp t="s">
        <v>5/28/2030</v>
        <stp/>
        <stp>##V3_BDPV12</stp>
        <stp>US38021AAC62 mtge ISIN</stp>
        <stp>Maturity</stp>
        <stp>[GNMA Mtge Bonds &amp; Swap CF_generator_Mar2016.DUB.xlsm]Analysis - ignore!R63C13</stp>
        <tr r="M63" s="1124"/>
      </tp>
      <tp t="s">
        <v>COELT 2005-A A4</v>
        <stp/>
        <stp>##V3_BDPV12</stp>
        <stp>US19458LBC37 mtge ISIN</stp>
        <stp>SECURITY DES</stp>
        <stp>[GNMA Mtge Bonds &amp; Swap CF_generator_Mar2016.DUB.xlsm]Analysis - ignore!R48C2</stp>
        <tr r="B48" s="1124"/>
      </tp>
      <tp t="s">
        <v>NSLT 2008-3 A4</v>
        <stp/>
        <stp>##V3_BDPV12</stp>
        <stp>US64032LAD38 mtge ISIN</stp>
        <stp>SECURITY DES</stp>
        <stp>[GNMA Mtge Bonds &amp; Swap CF_generator_Mar2016.DUB.xlsm]Analysis - ignore!R95C2</stp>
        <tr r="B95" s="1124"/>
      </tp>
      <tp t="s">
        <v>3/27/2023</v>
        <stp/>
        <stp>##V3_BDPV12</stp>
        <stp>US10620NAE85 mtge ISIN</stp>
        <stp>Maturity</stp>
        <stp>[GNMA Mtge Bonds &amp; Swap CF_generator_Mar2016.DUB.xlsm]Analysis - ignore!R22C13</stp>
        <tr r="M22" s="1124"/>
      </tp>
      <tp>
        <v>2.75</v>
        <stp/>
        <stp>##V3_BDPV12</stp>
        <stp>US36156YAP60 mtge</stp>
        <stp>MTG WAL</stp>
        <stp>[GNMA Mtge Bonds &amp; Swap CF_generator_Mar2016.DUB.xlsm]Analysis - ignore!R60C10</stp>
        <stp xml:space="preserve">ALLOW_DYNAMIC_CASHFLOW_CALCS </stp>
        <stp>Y</stp>
        <stp>MTG PREPAY SPEED</stp>
        <stp>0</stp>
        <stp>MTG PREPAY TYP</stp>
        <stp>PPS</stp>
        <tr r="J60" s="1124"/>
      </tp>
      <tp t="s">
        <v>NSLT 2006-2 A3</v>
        <stp/>
        <stp>##V3_BDPV12</stp>
        <stp>US640315AC17 mtge ISIN</stp>
        <stp>SECURITY DES</stp>
        <stp>[GNMA Mtge Bonds &amp; Swap CF_generator_Mar2016.DUB.xlsm]Analysis - ignore!R77C2</stp>
        <tr r="B77" s="1124"/>
      </tp>
      <tp t="s">
        <v>MHESA 2006-1 A</v>
        <stp/>
        <stp>##V3_BDPV12</stp>
        <stp>US612130HP25 mtge ISIN</stp>
        <stp>SECURITY DES</stp>
        <stp>[GNMA Mtge Bonds &amp; Swap CF_generator_Mar2016.DUB.xlsm]Analysis - ignore!R76C2</stp>
        <tr r="B76" s="1124"/>
      </tp>
      <tp t="s">
        <v>NSLT 2008-1 A3</v>
        <stp/>
        <stp>##V3_BDPV12</stp>
        <stp>US64032GAC69 mtge ISIN</stp>
        <stp>SECURITY DES</stp>
        <stp>[GNMA Mtge Bonds &amp; Swap CF_generator_Mar2016.DUB.xlsm]Analysis - ignore!R93C2</stp>
        <tr r="B93" s="1124"/>
      </tp>
      <tp t="s">
        <v>GOAL 2006-1 A2</v>
        <stp/>
        <stp>##V3_BDPV12</stp>
        <stp>US38021BAB62 mtge ISIN</stp>
        <stp>SECURITY DES</stp>
        <stp>[GNMA Mtge Bonds &amp; Swap CF_generator_Mar2016.DUB.xlsm]Analysis - ignore!R65C2</stp>
        <tr r="B65" s="1124"/>
      </tp>
      <tp t="s">
        <v>BRHEA 2005-3 A16</v>
        <stp/>
        <stp>##V3_BDPV12</stp>
        <stp>US10620NAK46 mtge ISIN</stp>
        <stp>SECURITY DES</stp>
        <stp>[GNMA Mtge Bonds &amp; Swap CF_generator_Mar2016.DUB.xlsm]Analysis - ignore!R24C2</stp>
        <tr r="B24" s="1124"/>
      </tp>
      <tp t="s">
        <v>3/25/2036</v>
        <stp/>
        <stp>##V3_BDPV12</stp>
        <stp>US38021DAD84 mtge ISIN</stp>
        <stp>Maturity</stp>
        <stp>[GNMA Mtge Bonds &amp; Swap CF_generator_Mar2016.DUB.xlsm]Analysis - ignore!R69C13</stp>
        <tr r="M69" s="1124"/>
      </tp>
      <tp t="s">
        <v>8/25/2023</v>
        <stp/>
        <stp>##V3_BDPV12</stp>
        <stp>US38021BAB62 mtge ISIN</stp>
        <stp>Maturity</stp>
        <stp>[GNMA Mtge Bonds &amp; Swap CF_generator_Mar2016.DUB.xlsm]Analysis - ignore!R65C13</stp>
        <tr r="M65" s="1124"/>
      </tp>
      <tp t="s">
        <v>8/25/2021</v>
        <stp/>
        <stp>##V3_BDPV12</stp>
        <stp>US64032EAB39 mtge ISIN</stp>
        <stp>Maturity</stp>
        <stp>[GNMA Mtge Bonds &amp; Swap CF_generator_Mar2016.DUB.xlsm]Analysis - ignore!R88C13</stp>
        <tr r="M88" s="1124"/>
      </tp>
      <tp t="s">
        <v>NSLT 2006-3 A5</v>
        <stp/>
        <stp>##V3_BDPV12</stp>
        <stp>US64031AAE64 mtge ISIN</stp>
        <stp>SECURITY DES</stp>
        <stp>[GNMA Mtge Bonds &amp; Swap CF_generator_Mar2016.DUB.xlsm]Analysis - ignore!R80C2</stp>
        <tr r="B80" s="1124"/>
      </tp>
      <tp t="s">
        <v>6/25/2026</v>
        <stp/>
        <stp>##V3_BDPV12</stp>
        <stp>US10620NAX66 mtge ISIN</stp>
        <stp>Maturity</stp>
        <stp>[GNMA Mtge Bonds &amp; Swap CF_generator_Mar2016.DUB.xlsm]Analysis - ignore!R27C13</stp>
        <tr r="M27" s="1124"/>
      </tp>
      <tp t="s">
        <v>6/25/2026</v>
        <stp/>
        <stp>##V3_BDPV12</stp>
        <stp>US10620NAK46 mtge ISIN</stp>
        <stp>Maturity</stp>
        <stp>[GNMA Mtge Bonds &amp; Swap CF_generator_Mar2016.DUB.xlsm]Analysis - ignore!R24C13</stp>
        <tr r="M24" s="1124"/>
      </tp>
      <tp t="s">
        <v>#N/A N/A</v>
        <stp/>
        <stp>##V3_BDPV12</stp>
        <stp>US64031AAE64 mtge</stp>
        <stp>MTG WAL</stp>
        <stp>[GNMA Mtge Bonds &amp; Swap CF_generator_Mar2016.DUB.xlsm]Analysis - ignore!R80C10</stp>
        <stp xml:space="preserve">ALLOW_DYNAMIC_CASHFLOW_CALCS </stp>
        <stp>Y</stp>
        <stp>MTG PREPAY SPEED</stp>
        <stp>2</stp>
        <stp>MTG PREPAY TYP</stp>
        <stp>CPR</stp>
        <tr r="J80" s="1124"/>
      </tp>
      <tp t="s">
        <v>#N/A N/A</v>
        <stp/>
        <stp>##V3_BDPV12</stp>
        <stp>US38021AAD46 mtge</stp>
        <stp>MTG WAL</stp>
        <stp>[GNMA Mtge Bonds &amp; Swap CF_generator_Mar2016.DUB.xlsm]Analysis - ignore!R64C10</stp>
        <stp xml:space="preserve">ALLOW_DYNAMIC_CASHFLOW_CALCS </stp>
        <stp>Y</stp>
        <stp>MTG PREPAY SPEED</stp>
        <stp>0</stp>
        <stp>MTG PREPAY TYP</stp>
        <stp>CPR</stp>
        <tr r="J64" s="1124"/>
      </tp>
      <tp t="s">
        <v>#N/A N/A</v>
        <stp/>
        <stp>##V3_BDPV12</stp>
        <stp>US64032LAD38 mtge</stp>
        <stp>MTG WAL</stp>
        <stp>[GNMA Mtge Bonds &amp; Swap CF_generator_Mar2016.DUB.xlsm]Analysis - ignore!R95C10</stp>
        <stp xml:space="preserve">ALLOW_DYNAMIC_CASHFLOW_CALCS </stp>
        <stp>Y</stp>
        <stp>MTG PREPAY SPEED</stp>
        <stp>0</stp>
        <stp>MTG PREPAY TYP</stp>
        <stp>CPR</stp>
        <tr r="J95" s="1124"/>
      </tp>
      <tp t="s">
        <v>BRHEA 2006-2 A10</v>
        <stp/>
        <stp>##V3_BDPV12</stp>
        <stp>US10620NAX66 mtge ISIN</stp>
        <stp>SECURITY DES</stp>
        <stp>[GNMA Mtge Bonds &amp; Swap CF_generator_Mar2016.DUB.xlsm]Analysis - ignore!R27C2</stp>
        <tr r="B27" s="1124"/>
      </tp>
      <tp t="s">
        <v>GCOE 2005-2 A6L</v>
        <stp/>
        <stp>##V3_BDPV12</stp>
        <stp>US36156HAQ11 mtge ISIN</stp>
        <stp>SECURITY DES</stp>
        <stp>[GNMA Mtge Bonds &amp; Swap CF_generator_Mar2016.DUB.xlsm]Analysis - ignore!R54C2</stp>
        <tr r="B54" s="1124"/>
      </tp>
      <tp t="s">
        <v>7/30/2018</v>
        <stp/>
        <stp>##V3_BDPV12</stp>
        <stp>US66704JBB35 mtge ISIN</stp>
        <stp>Maturity</stp>
        <stp>[GNMA Mtge Bonds &amp; Swap CF_generator_Mar2016.DUB.xlsm]Analysis - ignore!R99C13</stp>
        <tr r="M99" s="1124"/>
      </tp>
      <tp t="s">
        <v>ALGI 2006-1A A3</v>
        <stp/>
        <stp>##V3_BDPV12</stp>
        <stp>US01551DAK81 mtge ISIN</stp>
        <stp>SECURITY DES</stp>
        <stp>[GNMA Mtge Bonds &amp; Swap CF_generator_Mar2016.DUB.xlsm]Analysis - ignore!R19C2</stp>
        <tr r="B19" s="1124"/>
      </tp>
      <tp t="s">
        <v>GCOE 2007-1A A7L</v>
        <stp/>
        <stp>##V3_BDPV12</stp>
        <stp>US36156YAQ44 mtge ISIN</stp>
        <stp>SECURITY DES</stp>
        <stp>[GNMA Mtge Bonds &amp; Swap CF_generator_Mar2016.DUB.xlsm]Analysis - ignore!R61C2</stp>
        <tr r="B61" s="1124"/>
      </tp>
      <tp t="s">
        <v>#N/A N/A</v>
        <stp/>
        <stp>##V3_BDPV12</stp>
        <stp>US38021DAC02 mtge</stp>
        <stp>MTG WAL</stp>
        <stp>[GNMA Mtge Bonds &amp; Swap CF_generator_Mar2016.DUB.xlsm]Analysis - ignore!R68C10</stp>
        <stp xml:space="preserve">ALLOW_DYNAMIC_CASHFLOW_CALCS </stp>
        <stp>Y</stp>
        <stp>MTG PREPAY SPEED</stp>
        <stp>2</stp>
        <stp>MTG PREPAY TYP</stp>
        <stp>CPR</stp>
        <tr r="J68" s="1124"/>
      </tp>
      <tp t="s">
        <v>CEDLT 2007-A A2</v>
        <stp/>
        <stp>##V3_BDPV12</stp>
        <stp>US16151UAB26 mtge ISIN</stp>
        <stp>SECURITY DES</stp>
        <stp>[GNMA Mtge Bonds &amp; Swap CF_generator_Mar2016.DUB.xlsm]Analysis - ignore!R32C2</stp>
        <tr r="B32" s="1124"/>
      </tp>
      <tp t="s">
        <v>GOVERNMENT NATIONAL MORTGAGE A</v>
        <stp/>
        <stp>##V3_BLP</stp>
        <stp>US38373MG611 Mtge</stp>
        <stp>issuer</stp>
        <stp>[GNMA Mtge Bonds &amp; Swap CF_generator_Mar2016.DUB.xlsm]ISINS_&amp;_SWAPS!R11C10</stp>
        <tr r="J11" s="20"/>
      </tp>
      <tp t="s">
        <v>GOVERNMENT NATIONAL MORTGAGE A</v>
        <stp/>
        <stp>##V3_BLP</stp>
        <stp>US38373MG611 Mtge</stp>
        <stp>issuer</stp>
        <stp>[GNMA Mtge Bonds &amp; Swap CF_generator_Mar2016.DUB.xlsm]ISINS_&amp;_SWAPS!R22C10</stp>
        <tr r="J22" s="20"/>
      </tp>
      <tp t="s">
        <v>GOVERNMENT NATIONAL MORTGAGE A</v>
        <stp/>
        <stp>##V3_BLP</stp>
        <stp>US38373MG611 Mtge</stp>
        <stp>issuer</stp>
        <stp>[GNMA Mtge Bonds &amp; Swap CF_generator_Mar2016.DUB.xlsm]ISINS_&amp;_SWAPS!R23C10</stp>
        <tr r="J23" s="20"/>
      </tp>
      <tp>
        <v>0</v>
        <stp/>
        <stp>##V3_BDPV12</stp>
        <stp>US340640AE18 mtge ISIN</stp>
        <stp>MTG FACTOR</stp>
        <stp>[GNMA Mtge Bonds &amp; Swap CF_generator_Mar2016.DUB.xlsm]Analysis - ignore!R52C17</stp>
        <tr r="Q52" s="1124"/>
      </tp>
      <tp>
        <v>0</v>
        <stp/>
        <stp>##V3_BDPV12</stp>
        <stp>US49327HAA32 mtge ISIN</stp>
        <stp>MTG FACTOR</stp>
        <stp>[GNMA Mtge Bonds &amp; Swap CF_generator_Mar2016.DUB.xlsm]Analysis - ignore!R73C17</stp>
        <tr r="Q73" s="1124"/>
      </tp>
      <tp>
        <v>0.63</v>
        <stp/>
        <stp>##V3_BDPV12</stp>
        <stp>US38373MG611 mtge</stp>
        <stp>mtg wal</stp>
        <stp>[GNMA Mtge Bonds &amp; Swap CF_generator_Mar2016.DUB.xlsm]ISINS_&amp;_SWAPS!R11C27</stp>
        <stp xml:space="preserve">ALLOW_DYNAMIC_CASHFLOW_CALCS </stp>
        <stp>Y</stp>
        <stp>MTG PREPAY SPEED</stp>
        <stp>30</stp>
        <stp>MTG PREPAY TYP</stp>
        <stp>CPJ</stp>
        <tr r="AA11" s="20"/>
      </tp>
      <tp>
        <v>10.68</v>
        <stp/>
        <stp>##V3_BDPV12</stp>
        <stp>XS0235359048 mtge</stp>
        <stp>MTG WAL</stp>
        <stp>[GNMA Mtge Bonds &amp; Swap CF_generator_Mar2016.DUB.xlsm]Analysis - ignore!R195C10</stp>
        <stp xml:space="preserve">ALLOW_DYNAMIC_CASHFLOW_CALCS </stp>
        <stp>Y</stp>
        <stp>MTG PREPAY SPEED</stp>
        <stp>2</stp>
        <stp>MTG PREPAY TYP</stp>
        <stp>CPR</stp>
        <tr r="J195" s="1124"/>
      </tp>
      <tp>
        <v>0.47665000000000002</v>
        <stp/>
        <stp>##V3_BDPV12</stp>
        <stp>US66704JBB35 mtge ISIN</stp>
        <stp>MTG FACTOR</stp>
        <stp>[GNMA Mtge Bonds &amp; Swap CF_generator_Mar2016.DUB.xlsm]Analysis - ignore!R99C17</stp>
        <tr r="Q99" s="1124"/>
      </tp>
      <tp>
        <v>0.40067438080000001</v>
        <stp/>
        <stp>##V3_BDPV12</stp>
        <stp>US19458LBG41 mtge ISIN</stp>
        <stp>MTG FACTOR</stp>
        <stp>[GNMA Mtge Bonds &amp; Swap CF_generator_Mar2016.DUB.xlsm]Analysis - ignore!R49C17</stp>
        <tr r="Q49" s="1124"/>
      </tp>
      <tp>
        <v>0.62603324459999998</v>
        <stp/>
        <stp>##V3_BDPV12</stp>
        <stp>US38021AAC62 mtge ISIN</stp>
        <stp>MTG FACTOR</stp>
        <stp>[GNMA Mtge Bonds &amp; Swap CF_generator_Mar2016.DUB.xlsm]Analysis - ignore!R63C17</stp>
        <tr r="Q63" s="1124"/>
      </tp>
      <tp>
        <v>0</v>
        <stp/>
        <stp>##V3_BDPV12</stp>
        <stp>US66704JBA51 mtge ISIN</stp>
        <stp>MTG FACTOR</stp>
        <stp>[GNMA Mtge Bonds &amp; Swap CF_generator_Mar2016.DUB.xlsm]Analysis - ignore!R98C17</stp>
        <tr r="Q98" s="1124"/>
      </tp>
      <tp>
        <v>0.56320698170499983</v>
        <stp/>
        <stp>##V3_BDPV12</stp>
        <stp>US64032EAB39 mtge ISIN</stp>
        <stp>MTG FACTOR</stp>
        <stp>[GNMA Mtge Bonds &amp; Swap CF_generator_Mar2016.DUB.xlsm]Analysis - ignore!R88C17</stp>
        <tr r="Q88" s="1124"/>
      </tp>
      <tp>
        <v>0.66595624999999992</v>
        <stp/>
        <stp>##V3_BDPV12</stp>
        <stp>US36156YAD31 mtge ISIN</stp>
        <stp>MTG FACTOR</stp>
        <stp>[GNMA Mtge Bonds &amp; Swap CF_generator_Mar2016.DUB.xlsm]Analysis - ignore!R58C17</stp>
        <tr r="Q58" s="1124"/>
      </tp>
      <tp>
        <v>0.1394978549</v>
        <stp/>
        <stp>##V3_BDPV12</stp>
        <stp>US00432CDB46 mtge ISIN</stp>
        <stp>MTG FACTOR</stp>
        <stp>[GNMA Mtge Bonds &amp; Swap CF_generator_Mar2016.DUB.xlsm]Analysis - ignore!R13C17</stp>
        <tr r="Q13" s="1124"/>
      </tp>
      <tp>
        <v>0.37207294820200004</v>
        <stp/>
        <stp>##V3_BDPV12</stp>
        <stp>US38021DAC02 mtge ISIN</stp>
        <stp>MTG FACTOR</stp>
        <stp>[GNMA Mtge Bonds &amp; Swap CF_generator_Mar2016.DUB.xlsm]Analysis - ignore!R68C17</stp>
        <tr r="Q68" s="1124"/>
      </tp>
      <tp>
        <v>0</v>
        <stp/>
        <stp>##V3_BDPV12</stp>
        <stp>US64032GAB86 mtge ISIN</stp>
        <stp>MTG FACTOR</stp>
        <stp>[GNMA Mtge Bonds &amp; Swap CF_generator_Mar2016.DUB.xlsm]Analysis - ignore!R92C17</stp>
        <tr r="Q92" s="1124"/>
      </tp>
      <tp>
        <v>1</v>
        <stp/>
        <stp>##V3_BDPV12</stp>
        <stp>US12556PAD96 mtge ISIN</stp>
        <stp>MTG FACTOR</stp>
        <stp>[GNMA Mtge Bonds &amp; Swap CF_generator_Mar2016.DUB.xlsm]Analysis - ignore!R31C17</stp>
        <tr r="Q31" s="1124"/>
      </tp>
      <tp>
        <v>1</v>
        <stp/>
        <stp>##V3_BDPV12</stp>
        <stp>US16151UAD81 mtge ISIN</stp>
        <stp>MTG FACTOR</stp>
        <stp>[GNMA Mtge Bonds &amp; Swap CF_generator_Mar2016.DUB.xlsm]Analysis - ignore!R34C17</stp>
        <tr r="Q34" s="1124"/>
      </tp>
      <tp>
        <v>0.63</v>
        <stp/>
        <stp>##V3_BDPV12</stp>
        <stp>US38373MG611 mtge</stp>
        <stp>mtg wal</stp>
        <stp>[GNMA Mtge Bonds &amp; Swap CF_generator_Mar2016.DUB.xlsm]ISINS_&amp;_SWAPS!R23C27</stp>
        <stp xml:space="preserve">ALLOW_DYNAMIC_CASHFLOW_CALCS </stp>
        <stp>Y</stp>
        <stp>MTG PREPAY SPEED</stp>
        <stp>30</stp>
        <stp>MTG PREPAY TYP</stp>
        <stp>CPJ</stp>
        <tr r="AA23" s="20"/>
      </tp>
      <tp t="s">
        <v>GOVERNMENT NATIONAL MORTGAGE A</v>
        <stp/>
        <stp>##V3_BLP</stp>
        <stp>US38374MEF23 Mtge</stp>
        <stp>issuer</stp>
        <stp>[GNMA Mtge Bonds &amp; Swap CF_generator_Mar2016.DUB.xlsm]ISINS_&amp;_SWAPS!R18C10</stp>
        <tr r="J18" s="20"/>
      </tp>
      <tp t="s">
        <v>GOVERNMENT NATIONAL MORTGAGE A</v>
        <stp/>
        <stp>##V3_BLP</stp>
        <stp>US38374MEF23 Mtge</stp>
        <stp>issuer</stp>
        <stp>[GNMA Mtge Bonds &amp; Swap CF_generator_Mar2016.DUB.xlsm]ISINS_&amp;_SWAPS!R19C10</stp>
        <tr r="J19" s="20"/>
      </tp>
    </main>
    <main first="bloomberg.rtd">
      <tp>
        <v>1</v>
        <stp/>
        <stp>##V3_BDPV12</stp>
        <stp>US64032EAC12 mtge ISIN</stp>
        <stp>MTG FACTOR</stp>
        <stp>[GNMA Mtge Bonds &amp; Swap CF_generator_Mar2016.DUB.xlsm]Analysis - ignore!R89C17</stp>
        <tr r="Q89" s="1124"/>
      </tp>
      <tp>
        <v>0</v>
        <stp/>
        <stp>##V3_BDPV12</stp>
        <stp>US38021BAB62 mtge ISIN</stp>
        <stp>MTG FACTOR</stp>
        <stp>[GNMA Mtge Bonds &amp; Swap CF_generator_Mar2016.DUB.xlsm]Analysis - ignore!R65C17</stp>
        <tr r="Q65" s="1124"/>
      </tp>
      <tp>
        <v>0</v>
        <stp/>
        <stp>##V3_BDPV12</stp>
        <stp>US640315AC17 mtge ISIN</stp>
        <stp>MTG FACTOR</stp>
        <stp>[GNMA Mtge Bonds &amp; Swap CF_generator_Mar2016.DUB.xlsm]Analysis - ignore!R77C17</stp>
        <tr r="Q77" s="1124"/>
      </tp>
      <tp>
        <v>1</v>
        <stp/>
        <stp>##V3_BDPV12</stp>
        <stp>US00432CDC29 mtge ISIN</stp>
        <stp>MTG FACTOR</stp>
        <stp>[GNMA Mtge Bonds &amp; Swap CF_generator_Mar2016.DUB.xlsm]Analysis - ignore!R14C17</stp>
        <tr r="Q14" s="1124"/>
      </tp>
      <tp>
        <v>0</v>
        <stp/>
        <stp>##V3_BDPV12</stp>
        <stp>US38021DAB29 mtge ISIN</stp>
        <stp>MTG FACTOR</stp>
        <stp>[GNMA Mtge Bonds &amp; Swap CF_generator_Mar2016.DUB.xlsm]Analysis - ignore!R67C17</stp>
        <tr r="Q67" s="1124"/>
      </tp>
      <tp>
        <v>0</v>
        <stp/>
        <stp>##V3_BDPV12</stp>
        <stp>US194268AB47 mtge ISIN</stp>
        <stp>MTG FACTOR</stp>
        <stp>[GNMA Mtge Bonds &amp; Swap CF_generator_Mar2016.DUB.xlsm]Analysis - ignore!R45C17</stp>
        <tr r="Q45" s="1124"/>
      </tp>
      <tp>
        <v>0</v>
        <stp/>
        <stp>##V3_BDPV12</stp>
        <stp>US64032GAC69 mtge ISIN</stp>
        <stp>MTG FACTOR</stp>
        <stp>[GNMA Mtge Bonds &amp; Swap CF_generator_Mar2016.DUB.xlsm]Analysis - ignore!R93C17</stp>
        <tr r="Q93" s="1124"/>
      </tp>
      <tp>
        <v>0.56243838160000004</v>
        <stp/>
        <stp>##V3_BDPV12</stp>
        <stp>US49327HAB15 mtge ISIN</stp>
        <stp>MTG FACTOR</stp>
        <stp>[GNMA Mtge Bonds &amp; Swap CF_generator_Mar2016.DUB.xlsm]Analysis - ignore!R74C17</stp>
        <tr r="Q74" s="1124"/>
      </tp>
      <tp>
        <v>0</v>
        <stp/>
        <stp>##V3_BDPV12</stp>
        <stp>US194266AB80 mtge ISIN</stp>
        <stp>MTG FACTOR</stp>
        <stp>[GNMA Mtge Bonds &amp; Swap CF_generator_Mar2016.DUB.xlsm]Analysis - ignore!R43C17</stp>
        <tr r="Q43" s="1124"/>
      </tp>
      <tp>
        <v>0</v>
        <stp/>
        <stp>##V3_BDPV12</stp>
        <stp>US38021AAB89 mtge ISIN</stp>
        <stp>MTG FACTOR</stp>
        <stp>[GNMA Mtge Bonds &amp; Swap CF_generator_Mar2016.DUB.xlsm]Analysis - ignore!R62C17</stp>
        <tr r="Q62" s="1124"/>
      </tp>
      <tp>
        <v>0.63</v>
        <stp/>
        <stp>##V3_BDPV12</stp>
        <stp>US38373MG611 mtge</stp>
        <stp>mtg wal</stp>
        <stp>[GNMA Mtge Bonds &amp; Swap CF_generator_Mar2016.DUB.xlsm]ISINS_&amp;_SWAPS!R22C27</stp>
        <stp xml:space="preserve">ALLOW_DYNAMIC_CASHFLOW_CALCS </stp>
        <stp>Y</stp>
        <stp>MTG PREPAY SPEED</stp>
        <stp>30</stp>
        <stp>MTG PREPAY TYP</stp>
        <stp>CPJ</stp>
        <tr r="AA22" s="20"/>
      </tp>
      <tp t="s">
        <v>7/25/2016</v>
        <stp/>
        <stp>##V3_BDPV12</stp>
        <stp>XS0235351904 mtge</stp>
        <stp xml:space="preserve">MTG_NXT_PAY_DT_SET_DT </stp>
        <stp>[GNMA Mtge Bonds &amp; Swap CF_generator_Mar2016.DUB.xlsm]Analysis - ignore!R194C11</stp>
        <tr r="K194" s="1124"/>
      </tp>
      <tp>
        <v>1</v>
        <stp/>
        <stp>##V3_BDPV12</stp>
        <stp>US106238LE67 mtge ISIN</stp>
        <stp>MTG FACTOR</stp>
        <stp>[GNMA Mtge Bonds &amp; Swap CF_generator_Mar2016.DUB.xlsm]Analysis - ignore!R29C17</stp>
        <tr r="Q29" s="1124"/>
      </tp>
      <tp>
        <v>1</v>
        <stp/>
        <stp>##V3_BDPV12</stp>
        <stp>US64032LAD38 mtge ISIN</stp>
        <stp>MTG FACTOR</stp>
        <stp>[GNMA Mtge Bonds &amp; Swap CF_generator_Mar2016.DUB.xlsm]Analysis - ignore!R95C17</stp>
        <tr r="Q95" s="1124"/>
      </tp>
      <tp>
        <v>1</v>
        <stp/>
        <stp>##V3_BDPV12</stp>
        <stp>US64031QCD16 mtge ISIN</stp>
        <stp>MTG FACTOR</stp>
        <stp>[GNMA Mtge Bonds &amp; Swap CF_generator_Mar2016.DUB.xlsm]Analysis - ignore!R85C17</stp>
        <tr r="Q85" s="1124"/>
      </tp>
      <tp>
        <v>0</v>
        <stp/>
        <stp>##V3_BDPV12</stp>
        <stp>US16151UAB26 mtge ISIN</stp>
        <stp>MTG FACTOR</stp>
        <stp>[GNMA Mtge Bonds &amp; Swap CF_generator_Mar2016.DUB.xlsm]Analysis - ignore!R32C17</stp>
        <tr r="Q32" s="1124"/>
      </tp>
      <tp>
        <v>1</v>
        <stp/>
        <stp>##V3_BDPV12</stp>
        <stp>US64032EAD94 mtge ISIN</stp>
        <stp>MTG FACTOR</stp>
        <stp>[GNMA Mtge Bonds &amp; Swap CF_generator_Mar2016.DUB.xlsm]Analysis - ignore!R90C17</stp>
        <tr r="Q90" s="1124"/>
      </tp>
      <tp>
        <v>1</v>
        <stp/>
        <stp>##V3_BDPV12</stp>
        <stp>US64032JAD81 mtge ISIN</stp>
        <stp>MTG FACTOR</stp>
        <stp>[GNMA Mtge Bonds &amp; Swap CF_generator_Mar2016.DUB.xlsm]Analysis - ignore!R94C17</stp>
        <tr r="Q94" s="1124"/>
      </tp>
      <tp>
        <v>0.70483766150000005</v>
        <stp/>
        <stp>##V3_BDPV12</stp>
        <stp>US19458LBB53 mtge ISIN</stp>
        <stp>MTG FACTOR</stp>
        <stp>[GNMA Mtge Bonds &amp; Swap CF_generator_Mar2016.DUB.xlsm]Analysis - ignore!R47C17</stp>
        <tr r="Q47" s="1124"/>
      </tp>
      <tp>
        <v>0</v>
        <stp/>
        <stp>##V3_BDPV12</stp>
        <stp>US462592AB29 mtge ISIN</stp>
        <stp>MTG FACTOR</stp>
        <stp>[GNMA Mtge Bonds &amp; Swap CF_generator_Mar2016.DUB.xlsm]Analysis - ignore!R70C17</stp>
        <tr r="Q70" s="1124"/>
      </tp>
      <tp>
        <v>0.16505683660000001</v>
        <stp/>
        <stp>##V3_BDPV12</stp>
        <stp>US64031AAD81 mtge ISIN</stp>
        <stp>MTG FACTOR</stp>
        <stp>[GNMA Mtge Bonds &amp; Swap CF_generator_Mar2016.DUB.xlsm]Analysis - ignore!R79C17</stp>
        <tr r="Q79" s="1124"/>
      </tp>
      <tp>
        <v>1</v>
        <stp/>
        <stp>##V3_BDPV12</stp>
        <stp>US10620NAE85 mtge ISIN</stp>
        <stp>MTG FACTOR</stp>
        <stp>[GNMA Mtge Bonds &amp; Swap CF_generator_Mar2016.DUB.xlsm]Analysis - ignore!R22C17</stp>
        <tr r="Q22" s="1124"/>
      </tp>
      <tp>
        <v>0.46078616090000002</v>
        <stp/>
        <stp>##V3_BDPV12</stp>
        <stp>US493268CD64 mtge ISIN</stp>
        <stp>MTG FACTOR</stp>
        <stp>[GNMA Mtge Bonds &amp; Swap CF_generator_Mar2016.DUB.xlsm]Analysis - ignore!R72C17</stp>
        <tr r="Q72" s="1124"/>
      </tp>
      <tp>
        <v>0.45643417269999997</v>
        <stp/>
        <stp>##V3_BDPV12</stp>
        <stp>US12556PAC14 mtge ISIN</stp>
        <stp>MTG FACTOR</stp>
        <stp>[GNMA Mtge Bonds &amp; Swap CF_generator_Mar2016.DUB.xlsm]Analysis - ignore!R30C17</stp>
        <tr r="Q30" s="1124"/>
      </tp>
      <tp>
        <v>1</v>
        <stp/>
        <stp>##V3_BDPV12</stp>
        <stp>US38021AAD46 mtge ISIN</stp>
        <stp>MTG FACTOR</stp>
        <stp>[GNMA Mtge Bonds &amp; Swap CF_generator_Mar2016.DUB.xlsm]Analysis - ignore!R64C17</stp>
        <tr r="Q64" s="1124"/>
      </tp>
      <tp>
        <v>1</v>
        <stp/>
        <stp>##V3_BDPV12</stp>
        <stp>US64031AAE64 mtge ISIN</stp>
        <stp>MTG FACTOR</stp>
        <stp>[GNMA Mtge Bonds &amp; Swap CF_generator_Mar2016.DUB.xlsm]Analysis - ignore!R80C17</stp>
        <tr r="Q80" s="1124"/>
      </tp>
      <tp>
        <v>0.89774618559999997</v>
        <stp/>
        <stp>##V3_BDPV12</stp>
        <stp>US640315AE72 mtge ISIN</stp>
        <stp>MTG FACTOR</stp>
        <stp>[GNMA Mtge Bonds &amp; Swap CF_generator_Mar2016.DUB.xlsm]Analysis - ignore!R78C17</stp>
        <tr r="Q78" s="1124"/>
      </tp>
      <tp>
        <v>0</v>
        <stp/>
        <stp>##V3_BDPV12</stp>
        <stp>US36156YAC57 mtge ISIN</stp>
        <stp>MTG FACTOR</stp>
        <stp>[GNMA Mtge Bonds &amp; Swap CF_generator_Mar2016.DUB.xlsm]Analysis - ignore!R57C17</stp>
        <tr r="Q57" s="1124"/>
      </tp>
      <tp>
        <v>0.77881851670000002</v>
        <stp/>
        <stp>##V3_BDPV12</stp>
        <stp>US16151UAC09 mtge ISIN</stp>
        <stp>MTG FACTOR</stp>
        <stp>[GNMA Mtge Bonds &amp; Swap CF_generator_Mar2016.DUB.xlsm]Analysis - ignore!R33C17</stp>
        <tr r="Q33" s="1124"/>
      </tp>
      <tp>
        <v>1</v>
        <stp/>
        <stp>##V3_BDPV12</stp>
        <stp>US38021BAD29 mtge ISIN</stp>
        <stp>MTG FACTOR</stp>
        <stp>[GNMA Mtge Bonds &amp; Swap CF_generator_Mar2016.DUB.xlsm]Analysis - ignore!R66C17</stp>
        <tr r="Q66" s="1124"/>
      </tp>
      <tp>
        <v>1</v>
        <stp/>
        <stp>##V3_BDPV12</stp>
        <stp>US194266AD47 mtge ISIN</stp>
        <stp>MTG FACTOR</stp>
        <stp>[GNMA Mtge Bonds &amp; Swap CF_generator_Mar2016.DUB.xlsm]Analysis - ignore!R44C17</stp>
        <tr r="Q44" s="1124"/>
      </tp>
      <tp>
        <v>0.866682018</v>
        <stp/>
        <stp>##V3_BDPV12</stp>
        <stp>US462592AC02 mtge ISIN</stp>
        <stp>MTG FACTOR</stp>
        <stp>[GNMA Mtge Bonds &amp; Swap CF_generator_Mar2016.DUB.xlsm]Analysis - ignore!R71C17</stp>
        <tr r="Q71" s="1124"/>
      </tp>
      <tp>
        <v>1</v>
        <stp/>
        <stp>##V3_BDPV12</stp>
        <stp>US38021DAD84 mtge ISIN</stp>
        <stp>MTG FACTOR</stp>
        <stp>[GNMA Mtge Bonds &amp; Swap CF_generator_Mar2016.DUB.xlsm]Analysis - ignore!R69C17</stp>
        <tr r="Q69" s="1124"/>
      </tp>
      <tp>
        <v>1</v>
        <stp/>
        <stp>##V3_BDPV12</stp>
        <stp>US19458LBC37 mtge ISIN</stp>
        <stp>MTG FACTOR</stp>
        <stp>[GNMA Mtge Bonds &amp; Swap CF_generator_Mar2016.DUB.xlsm]Analysis - ignore!R48C17</stp>
        <tr r="Q48" s="1124"/>
      </tp>
      <tp>
        <v>4.8860000000000001</v>
        <stp/>
        <stp>##V3_BLP</stp>
        <stp>US38374MEF23 Mtge</stp>
        <stp>cur_cpn</stp>
        <stp>[GNMA Mtge Bonds &amp; Swap CF_generator_Mar2016.DUB.xlsm]ISINS_&amp;_SWAPS!R9C17</stp>
        <tr r="Q9" s="20"/>
      </tp>
      <tp>
        <v>0.53</v>
        <stp/>
        <stp>##V3_BLP</stp>
        <stp>US38373MK746 Mtge</stp>
        <stp>mtg_wal</stp>
        <stp>[GNMA Mtge Bonds &amp; Swap CF_generator_Mar2016.DUB.xlsm]ISINS_&amp;_SWAPS!R25C24</stp>
        <tr r="X25" s="20"/>
      </tp>
      <tp>
        <v>0.53</v>
        <stp/>
        <stp>##V3_BLP</stp>
        <stp>US38373MK746 Mtge</stp>
        <stp>mtg_wal</stp>
        <stp>[GNMA Mtge Bonds &amp; Swap CF_generator_Mar2016.DUB.xlsm]ISINS_&amp;_SWAPS!R24C24</stp>
        <tr r="X24" s="20"/>
      </tp>
      <tp>
        <v>0.53</v>
        <stp/>
        <stp>##V3_BLP</stp>
        <stp>US38373MK746 Mtge</stp>
        <stp>mtg_wal</stp>
        <stp>[GNMA Mtge Bonds &amp; Swap CF_generator_Mar2016.DUB.xlsm]ISINS_&amp;_SWAPS!R12C24</stp>
        <tr r="X12" s="20"/>
      </tp>
      <tp t="s">
        <v>VARIABLE</v>
        <stp/>
        <stp>##V3_BLP</stp>
        <stp>US38373MK746 Mtge</stp>
        <stp>cpn_typ</stp>
        <stp>[GNMA Mtge Bonds &amp; Swap CF_generator_Mar2016.DUB.xlsm]ISINS_&amp;_SWAPS!R12C16</stp>
        <tr r="P12" s="20"/>
      </tp>
      <tp t="s">
        <v>VARIABLE</v>
        <stp/>
        <stp>##V3_BLP</stp>
        <stp>US38373MK746 Mtge</stp>
        <stp>cpn_typ</stp>
        <stp>[GNMA Mtge Bonds &amp; Swap CF_generator_Mar2016.DUB.xlsm]ISINS_&amp;_SWAPS!R24C16</stp>
        <tr r="P24" s="20"/>
      </tp>
      <tp t="s">
        <v>VARIABLE</v>
        <stp/>
        <stp>##V3_BLP</stp>
        <stp>US38373MK746 Mtge</stp>
        <stp>cpn_typ</stp>
        <stp>[GNMA Mtge Bonds &amp; Swap CF_generator_Mar2016.DUB.xlsm]ISINS_&amp;_SWAPS!R25C16</stp>
        <tr r="P25" s="20"/>
      </tp>
      <tp>
        <v>4.9534000000000002</v>
        <stp/>
        <stp>##V3_BLP</stp>
        <stp>US38373MK746 Mtge</stp>
        <stp>cur_cpn</stp>
        <stp>[GNMA Mtge Bonds &amp; Swap CF_generator_Mar2016.DUB.xlsm]ISINS_&amp;_SWAPS!R12C17</stp>
        <tr r="Q12" s="20"/>
      </tp>
      <tp>
        <v>4.9534000000000002</v>
        <stp/>
        <stp>##V3_BLP</stp>
        <stp>US38373MK746 Mtge</stp>
        <stp>cur_cpn</stp>
        <stp>[GNMA Mtge Bonds &amp; Swap CF_generator_Mar2016.DUB.xlsm]ISINS_&amp;_SWAPS!R24C17</stp>
        <tr r="Q24" s="20"/>
      </tp>
      <tp>
        <v>4.9534000000000002</v>
        <stp/>
        <stp>##V3_BLP</stp>
        <stp>US38373MK746 Mtge</stp>
        <stp>cur_cpn</stp>
        <stp>[GNMA Mtge Bonds &amp; Swap CF_generator_Mar2016.DUB.xlsm]ISINS_&amp;_SWAPS!R25C17</stp>
        <tr r="Q25" s="20"/>
      </tp>
      <tp>
        <v>1.2</v>
        <stp/>
        <stp>##V3_BLP</stp>
        <stp>US38373MG611 Mtge</stp>
        <stp>mtg_wal</stp>
        <stp>[GNMA Mtge Bonds &amp; Swap CF_generator_Mar2016.DUB.xlsm]ISINS_&amp;_SWAPS!R11C24</stp>
        <tr r="X11" s="20"/>
      </tp>
      <tp>
        <v>1.2</v>
        <stp/>
        <stp>##V3_BLP</stp>
        <stp>US38373MG611 Mtge</stp>
        <stp>mtg_wal</stp>
        <stp>[GNMA Mtge Bonds &amp; Swap CF_generator_Mar2016.DUB.xlsm]ISINS_&amp;_SWAPS!R23C24</stp>
        <tr r="X23" s="20"/>
      </tp>
      <tp>
        <v>1.2</v>
        <stp/>
        <stp>##V3_BLP</stp>
        <stp>US38373MG611 Mtge</stp>
        <stp>mtg_wal</stp>
        <stp>[GNMA Mtge Bonds &amp; Swap CF_generator_Mar2016.DUB.xlsm]ISINS_&amp;_SWAPS!R22C24</stp>
        <tr r="X22" s="20"/>
      </tp>
      <tp t="s">
        <v>VARIABLE</v>
        <stp/>
        <stp>##V3_BLP</stp>
        <stp>US38373MG611 Mtge</stp>
        <stp>cpn_typ</stp>
        <stp>[GNMA Mtge Bonds &amp; Swap CF_generator_Mar2016.DUB.xlsm]ISINS_&amp;_SWAPS!R22C16</stp>
        <tr r="P22" s="20"/>
      </tp>
      <tp t="s">
        <v>VARIABLE</v>
        <stp/>
        <stp>##V3_BLP</stp>
        <stp>US38373MG611 Mtge</stp>
        <stp>cpn_typ</stp>
        <stp>[GNMA Mtge Bonds &amp; Swap CF_generator_Mar2016.DUB.xlsm]ISINS_&amp;_SWAPS!R23C16</stp>
        <tr r="P23" s="20"/>
      </tp>
      <tp t="s">
        <v>VARIABLE</v>
        <stp/>
        <stp>##V3_BLP</stp>
        <stp>US38373MG611 Mtge</stp>
        <stp>cpn_typ</stp>
        <stp>[GNMA Mtge Bonds &amp; Swap CF_generator_Mar2016.DUB.xlsm]ISINS_&amp;_SWAPS!R11C16</stp>
        <tr r="P11" s="20"/>
      </tp>
      <tp>
        <v>5.03</v>
        <stp/>
        <stp>##V3_BLP</stp>
        <stp>US38373MG611 Mtge</stp>
        <stp>cur_cpn</stp>
        <stp>[GNMA Mtge Bonds &amp; Swap CF_generator_Mar2016.DUB.xlsm]ISINS_&amp;_SWAPS!R22C17</stp>
        <tr r="Q22" s="20"/>
      </tp>
      <tp>
        <v>5.03</v>
        <stp/>
        <stp>##V3_BLP</stp>
        <stp>US38373MG611 Mtge</stp>
        <stp>cur_cpn</stp>
        <stp>[GNMA Mtge Bonds &amp; Swap CF_generator_Mar2016.DUB.xlsm]ISINS_&amp;_SWAPS!R23C17</stp>
        <tr r="Q23" s="20"/>
      </tp>
      <tp>
        <v>5.03</v>
        <stp/>
        <stp>##V3_BLP</stp>
        <stp>US38373MG611 Mtge</stp>
        <stp>cur_cpn</stp>
        <stp>[GNMA Mtge Bonds &amp; Swap CF_generator_Mar2016.DUB.xlsm]ISINS_&amp;_SWAPS!R11C17</stp>
        <tr r="Q11" s="20"/>
      </tp>
      <tp>
        <v>1</v>
        <stp/>
        <stp>##V3_BDPV12</stp>
        <stp>US00432CCG42 mtge ISIN</stp>
        <stp>MTG FACTOR</stp>
        <stp>[GNMA Mtge Bonds &amp; Swap CF_generator_Mar2016.DUB.xlsm]Analysis - ignore!R10C17</stp>
        <tr r="Q10" s="1124"/>
      </tp>
      <tp>
        <v>0.75384481211300025</v>
        <stp/>
        <stp>##V3_BDPV12</stp>
        <stp>US64032FAG90 mtge ISIN</stp>
        <stp>MTG FACTOR</stp>
        <stp>[GNMA Mtge Bonds &amp; Swap CF_generator_Mar2016.DUB.xlsm]Analysis - ignore!R91C17</stp>
        <tr r="Q91" s="1124"/>
      </tp>
      <tp t="s">
        <v>VARIABLE</v>
        <stp/>
        <stp>##V3_BLP</stp>
        <stp>US38374MEF23 Mtge</stp>
        <stp>cpn_typ</stp>
        <stp>[GNMA Mtge Bonds &amp; Swap CF_generator_Mar2016.DUB.xlsm]ISINS_&amp;_SWAPS!R9C16</stp>
        <tr r="P9" s="20"/>
      </tp>
      <tp>
        <v>0</v>
        <stp/>
        <stp>##V3_BDPV12</stp>
        <stp>US38374MEF23 mtge</stp>
        <stp>mtg wal</stp>
        <stp>[GNMA Mtge Bonds &amp; Swap CF_generator_Mar2016.DUB.xlsm]ISINS_&amp;_SWAPS!R9C27</stp>
        <stp xml:space="preserve">ALLOW_DYNAMIC_CASHFLOW_CALCS </stp>
        <stp>Y</stp>
        <stp>MTG PREPAY SPEED</stp>
        <stp>30</stp>
        <stp>MTG PREPAY TYP</stp>
        <stp>CPJ</stp>
        <tr r="AA9" s="20"/>
      </tp>
      <tp t="s">
        <v>7/25/2016</v>
        <stp/>
        <stp>##V3_BDPV12</stp>
        <stp>XS0187454706 mtge</stp>
        <stp xml:space="preserve">MTG_NXT_PAY_DT_SET_DT </stp>
        <stp>[GNMA Mtge Bonds &amp; Swap CF_generator_Mar2016.DUB.xlsm]Analysis - ignore!R193C11</stp>
        <tr r="K193" s="1124"/>
      </tp>
      <tp>
        <v>0.59432985823700002</v>
        <stp/>
        <stp>##V3_BDPV12</stp>
        <stp>US36156YAN13 mtge ISIN</stp>
        <stp>MTG FACTOR</stp>
        <stp>[GNMA Mtge Bonds &amp; Swap CF_generator_Mar2016.DUB.xlsm]Analysis - ignore!R59C17</stp>
        <tr r="Q59" s="1124"/>
      </tp>
      <tp>
        <v>0.29000000000000004</v>
        <stp/>
        <stp>##V3_BDPV12</stp>
        <stp>US38373MK746 mtge</stp>
        <stp>mtg wal</stp>
        <stp>[GNMA Mtge Bonds &amp; Swap CF_generator_Mar2016.DUB.xlsm]ISINS_&amp;_SWAPS!R25C27</stp>
        <stp xml:space="preserve">ALLOW_DYNAMIC_CASHFLOW_CALCS </stp>
        <stp>Y</stp>
        <stp>MTG PREPAY SPEED</stp>
        <stp>30</stp>
        <stp>MTG PREPAY TYP</stp>
        <stp>CPJ</stp>
        <tr r="AA25" s="20"/>
      </tp>
      <tp>
        <v>0</v>
        <stp/>
        <stp>##V3_BDPV12</stp>
        <stp>US194262CH29 mtge ISIN</stp>
        <stp>MTG FACTOR</stp>
        <stp>[GNMA Mtge Bonds &amp; Swap CF_generator_Mar2016.DUB.xlsm]Analysis - ignore!R36C17</stp>
        <tr r="Q36" s="1124"/>
      </tp>
      <tp t="s">
        <v>#N/A N/A</v>
        <stp/>
        <stp>##V3_BDPV12</stp>
        <stp>XS0255777103 mtge</stp>
        <stp>MTG WAL</stp>
        <stp>[GNMA Mtge Bonds &amp; Swap CF_generator_Mar2016.DUB.xlsm]Analysis - ignore!R197C10</stp>
        <stp xml:space="preserve">ALLOW_DYNAMIC_CASHFLOW_CALCS </stp>
        <stp>Y</stp>
        <stp>MTG PREPAY SPEED</stp>
        <stp>0</stp>
        <stp>MTG PREPAY TYP</stp>
        <stp>CPR</stp>
        <tr r="J197" s="1124"/>
      </tp>
      <tp t="s">
        <v>#N/A N/A</v>
        <stp/>
        <stp>##V3_BDPV12</stp>
        <stp>XS0235351904 mtge</stp>
        <stp>MTG WAL</stp>
        <stp>[GNMA Mtge Bonds &amp; Swap CF_generator_Mar2016.DUB.xlsm]Analysis - ignore!R194C10</stp>
        <stp xml:space="preserve">ALLOW_DYNAMIC_CASHFLOW_CALCS </stp>
        <stp>Y</stp>
        <stp>MTG PREPAY SPEED</stp>
        <stp>2</stp>
        <stp>MTG PREPAY TYP</stp>
        <stp>CPR</stp>
        <tr r="J194" s="1124"/>
      </tp>
      <tp>
        <v>0.29000000000000004</v>
        <stp/>
        <stp>##V3_BDPV12</stp>
        <stp>US38373MK746 mtge</stp>
        <stp>mtg wal</stp>
        <stp>[GNMA Mtge Bonds &amp; Swap CF_generator_Mar2016.DUB.xlsm]ISINS_&amp;_SWAPS!R24C27</stp>
        <stp xml:space="preserve">ALLOW_DYNAMIC_CASHFLOW_CALCS </stp>
        <stp>Y</stp>
        <stp>MTG PREPAY SPEED</stp>
        <stp>30</stp>
        <stp>MTG PREPAY TYP</stp>
        <stp>CPJ</stp>
        <tr r="AA24" s="20"/>
      </tp>
      <tp>
        <v>0</v>
        <stp/>
        <stp>##V3_BDPV12</stp>
        <stp>US38374MEF23 mtge</stp>
        <stp>mtg wal</stp>
        <stp>[GNMA Mtge Bonds &amp; Swap CF_generator_Mar2016.DUB.xlsm]ISINS_&amp;_SWAPS!R19C27</stp>
        <stp xml:space="preserve">ALLOW_DYNAMIC_CASHFLOW_CALCS </stp>
        <stp>Y</stp>
        <stp>MTG PREPAY SPEED</stp>
        <stp>30</stp>
        <stp>MTG PREPAY TYP</stp>
        <stp>CPJ</stp>
        <tr r="AA19" s="20"/>
      </tp>
      <tp>
        <v>1</v>
        <stp/>
        <stp>##V3_BDPV12</stp>
        <stp>US10620NAK46 mtge ISIN</stp>
        <stp>MTG FACTOR</stp>
        <stp>[GNMA Mtge Bonds &amp; Swap CF_generator_Mar2016.DUB.xlsm]Analysis - ignore!R24C17</stp>
        <tr r="Q24" s="1124"/>
      </tp>
      <tp>
        <v>0.43420000079999999</v>
        <stp/>
        <stp>##V3_BDPV12</stp>
        <stp>US17284LAA26 mtge ISIN</stp>
        <stp>MTG FACTOR</stp>
        <stp>[GNMA Mtge Bonds &amp; Swap CF_generator_Mar2016.DUB.xlsm]Analysis - ignore!R35C17</stp>
        <tr r="Q35" s="1124"/>
      </tp>
      <tp>
        <v>1</v>
        <stp/>
        <stp>##V3_BDPV12</stp>
        <stp>US01551DAL64 mtge ISIN</stp>
        <stp>MTG FACTOR</stp>
        <stp>[GNMA Mtge Bonds &amp; Swap CF_generator_Mar2016.DUB.xlsm]Analysis - ignore!R20C17</stp>
        <tr r="Q20" s="1124"/>
      </tp>
      <tp t="s">
        <v>#N/A N/A</v>
        <stp/>
        <stp>##V3_BDPV12</stp>
        <stp>XS0355234641 mtge</stp>
        <stp>MTG WAL</stp>
        <stp>[GNMA Mtge Bonds &amp; Swap CF_generator_Mar2016.DUB.xlsm]Analysis - ignore!R198C10</stp>
        <stp xml:space="preserve">ALLOW_DYNAMIC_CASHFLOW_CALCS </stp>
        <stp>Y</stp>
        <stp>MTG PREPAY SPEED</stp>
        <stp>0</stp>
        <stp>MTG PREPAY TYP</stp>
        <stp>CPR</stp>
        <tr r="J198" s="1124"/>
      </tp>
      <tp>
        <v>0</v>
        <stp/>
        <stp>##V3_BDPV12</stp>
        <stp>US64031QBJ94 mtge ISIN</stp>
        <stp>MTG FACTOR</stp>
        <stp>[GNMA Mtge Bonds &amp; Swap CF_generator_Mar2016.DUB.xlsm]Analysis - ignore!R81C17</stp>
        <tr r="Q81" s="1124"/>
      </tp>
      <tp>
        <v>0</v>
        <stp/>
        <stp>##V3_BDPV12</stp>
        <stp>US38374MEF23 mtge</stp>
        <stp>mtg wal</stp>
        <stp>[GNMA Mtge Bonds &amp; Swap CF_generator_Mar2016.DUB.xlsm]ISINS_&amp;_SWAPS!R18C27</stp>
        <stp xml:space="preserve">ALLOW_DYNAMIC_CASHFLOW_CALCS </stp>
        <stp>Y</stp>
        <stp>MTG PREPAY SPEED</stp>
        <stp>30</stp>
        <stp>MTG PREPAY TYP</stp>
        <stp>CPJ</stp>
        <tr r="AA18" s="20"/>
      </tp>
      <tp t="s">
        <v>6/15/2016</v>
        <stp/>
        <stp>##V3_BDPV12</stp>
        <stp>XS0355234641 mtge</stp>
        <stp xml:space="preserve">MTG_NXT_PAY_DT_SET_DT </stp>
        <stp>[GNMA Mtge Bonds &amp; Swap CF_generator_Mar2016.DUB.xlsm]Analysis - ignore!R198C11</stp>
        <tr r="K198" s="1124"/>
      </tp>
      <tp t="s">
        <v>6/1/2016</v>
        <stp/>
        <stp>##V3_BLP</stp>
        <stp>US38374MEF23 Mtge</stp>
        <stp>SETTLE_DT</stp>
        <stp>[GNMA Mtge Bonds &amp; Swap CF_generator_Mar2016.DUB.xlsm]ISINS_&amp;_SWAPS!R9C13</stp>
        <tr r="M9" s="20"/>
      </tp>
      <tp>
        <v>0.2612083</v>
        <stp/>
        <stp>##V3_BDPV12</stp>
        <stp>US10620NAJ72 mtge ISIN</stp>
        <stp>MTG FACTOR</stp>
        <stp>[GNMA Mtge Bonds &amp; Swap CF_generator_Mar2016.DUB.xlsm]Analysis - ignore!R23C17</stp>
        <tr r="Q23" s="1124"/>
      </tp>
      <tp>
        <v>0.62739714639999999</v>
        <stp/>
        <stp>##V3_BDPV12</stp>
        <stp>US64031QBK67 mtge ISIN</stp>
        <stp>MTG FACTOR</stp>
        <stp>[GNMA Mtge Bonds &amp; Swap CF_generator_Mar2016.DUB.xlsm]Analysis - ignore!R82C17</stp>
        <tr r="Q82" s="1124"/>
      </tp>
      <tp>
        <v>0.2</v>
        <stp/>
        <stp>##V3_BDPV12</stp>
        <stp>US194262CJ84 mtge ISIN</stp>
        <stp>MTG FACTOR</stp>
        <stp>[GNMA Mtge Bonds &amp; Swap CF_generator_Mar2016.DUB.xlsm]Analysis - ignore!R37C17</stp>
        <tr r="Q37" s="1124"/>
      </tp>
      <tp t="s">
        <v>GOVERNMENT NATIONAL MORTGAGE A</v>
        <stp/>
        <stp>##V3_BLP</stp>
        <stp>US38373MK746 Mtge</stp>
        <stp>issuer</stp>
        <stp>[GNMA Mtge Bonds &amp; Swap CF_generator_Mar2016.DUB.xlsm]ISINS_&amp;_SWAPS!R12C10</stp>
        <tr r="J12" s="20"/>
      </tp>
      <tp t="s">
        <v>GOVERNMENT NATIONAL MORTGAGE A</v>
        <stp/>
        <stp>##V3_BLP</stp>
        <stp>US38373MK746 Mtge</stp>
        <stp>issuer</stp>
        <stp>[GNMA Mtge Bonds &amp; Swap CF_generator_Mar2016.DUB.xlsm]ISINS_&amp;_SWAPS!R25C10</stp>
        <tr r="J25" s="20"/>
      </tp>
      <tp t="s">
        <v>GOVERNMENT NATIONAL MORTGAGE A</v>
        <stp/>
        <stp>##V3_BLP</stp>
        <stp>US38373MK746 Mtge</stp>
        <stp>issuer</stp>
        <stp>[GNMA Mtge Bonds &amp; Swap CF_generator_Mar2016.DUB.xlsm]ISINS_&amp;_SWAPS!R24C10</stp>
        <tr r="J24" s="20"/>
      </tp>
      <tp t="s">
        <v>8/25/2016</v>
        <stp/>
        <stp>##V3_BDPV12</stp>
        <stp>XS0255777103 mtge</stp>
        <stp xml:space="preserve">MTG_NXT_PAY_DT_SET_DT </stp>
        <stp>[GNMA Mtge Bonds &amp; Swap CF_generator_Mar2016.DUB.xlsm]Analysis - ignore!R197C11</stp>
        <tr r="K197" s="1124"/>
      </tp>
      <tp>
        <v>0</v>
        <stp/>
        <stp>##V3_BDPV12</stp>
        <stp>US01551DAJ19 mtge ISIN</stp>
        <stp>MTG FACTOR</stp>
        <stp>[GNMA Mtge Bonds &amp; Swap CF_generator_Mar2016.DUB.xlsm]Analysis - ignore!R18C17</stp>
        <tr r="Q18" s="1124"/>
      </tp>
      <tp>
        <v>0.39252140340000002</v>
        <stp/>
        <stp>##V3_BDPV12</stp>
        <stp>US612130HN76 mtge ISIN</stp>
        <stp>MTG FACTOR</stp>
        <stp>[GNMA Mtge Bonds &amp; Swap CF_generator_Mar2016.DUB.xlsm]Analysis - ignore!R75C17</stp>
        <tr r="Q75" s="1124"/>
      </tp>
      <tp t="s">
        <v>7/25/2016</v>
        <stp/>
        <stp>##V3_BDPV12</stp>
        <stp>XS0235359048 mtge</stp>
        <stp xml:space="preserve">MTG_NXT_PAY_DT_SET_DT </stp>
        <stp>[GNMA Mtge Bonds &amp; Swap CF_generator_Mar2016.DUB.xlsm]Analysis - ignore!R195C11</stp>
        <tr r="K195" s="1124"/>
      </tp>
      <tp>
        <v>1</v>
        <stp/>
        <stp>##V3_BDPV12</stp>
        <stp>US194262CL31 mtge ISIN</stp>
        <stp>MTG FACTOR</stp>
        <stp>[GNMA Mtge Bonds &amp; Swap CF_generator_Mar2016.DUB.xlsm]Analysis - ignore!R38C17</stp>
        <tr r="Q38" s="1124"/>
      </tp>
      <tp>
        <v>0</v>
        <stp/>
        <stp>##V3_BDPV12</stp>
        <stp>US040504FK32 mtge ISIN</stp>
        <stp>MTG FACTOR</stp>
        <stp>[GNMA Mtge Bonds &amp; Swap CF_generator_Mar2016.DUB.xlsm]Analysis - ignore!R21C17</stp>
        <tr r="Q21" s="1124"/>
      </tp>
      <tp>
        <v>0.37664777310000003</v>
        <stp/>
        <stp>##V3_BDPV12</stp>
        <stp>US00432CCM10 mtge ISIN</stp>
        <stp>MTG FACTOR</stp>
        <stp>[GNMA Mtge Bonds &amp; Swap CF_generator_Mar2016.DUB.xlsm]Analysis - ignore!R11C17</stp>
        <tr r="Q11" s="1124"/>
      </tp>
      <tp>
        <v>0.85600000000000009</v>
        <stp/>
        <stp>##V3_BDPV12</stp>
        <stp>US01551DAK81 mtge ISIN</stp>
        <stp>MTG FACTOR</stp>
        <stp>[GNMA Mtge Bonds &amp; Swap CF_generator_Mar2016.DUB.xlsm]Analysis - ignore!R19C17</stp>
        <tr r="Q19" s="1124"/>
      </tp>
      <tp t="s">
        <v>7/25/2016</v>
        <stp/>
        <stp>##V3_BDPV12</stp>
        <stp>XS0254562209 mtge</stp>
        <stp xml:space="preserve">MTG_NXT_PAY_DT_SET_DT </stp>
        <stp>[GNMA Mtge Bonds &amp; Swap CF_generator_Mar2016.DUB.xlsm]Analysis - ignore!R196C11</stp>
        <tr r="K196" s="1124"/>
      </tp>
      <tp>
        <v>0</v>
        <stp/>
        <stp>##V3_BDPV12</stp>
        <stp>US01551DAH52 mtge ISIN</stp>
        <stp>MTG FACTOR</stp>
        <stp>[GNMA Mtge Bonds &amp; Swap CF_generator_Mar2016.DUB.xlsm]Analysis - ignore!R17C17</stp>
        <tr r="Q17" s="1124"/>
      </tp>
      <tp>
        <v>1</v>
        <stp/>
        <stp>##V3_BDPV12</stp>
        <stp>US19458LBH24 mtge ISIN</stp>
        <stp>MTG FACTOR</stp>
        <stp>[GNMA Mtge Bonds &amp; Swap CF_generator_Mar2016.DUB.xlsm]Analysis - ignore!R50C17</stp>
        <tr r="Q50" s="1124"/>
      </tp>
      <tp>
        <v>0.48480133800000003</v>
        <stp/>
        <stp>##V3_BDPV12</stp>
        <stp>US00432CDN83 mtge ISIN</stp>
        <stp>MTG FACTOR</stp>
        <stp>[GNMA Mtge Bonds &amp; Swap CF_generator_Mar2016.DUB.xlsm]Analysis - ignore!R15C17</stp>
        <tr r="Q15" s="1124"/>
      </tp>
      <tp>
        <v>0</v>
        <stp/>
        <stp>##V3_BDPV12</stp>
        <stp>US10620NAN84 mtge ISIN</stp>
        <stp>MTG FACTOR</stp>
        <stp>[GNMA Mtge Bonds &amp; Swap CF_generator_Mar2016.DUB.xlsm]Analysis - ignore!R25C17</stp>
        <tr r="Q25" s="1124"/>
      </tp>
      <tp>
        <v>0.29000000000000004</v>
        <stp/>
        <stp>##V3_BDPV12</stp>
        <stp>US38373MK746 mtge</stp>
        <stp>mtg wal</stp>
        <stp>[GNMA Mtge Bonds &amp; Swap CF_generator_Mar2016.DUB.xlsm]ISINS_&amp;_SWAPS!R12C27</stp>
        <stp xml:space="preserve">ALLOW_DYNAMIC_CASHFLOW_CALCS </stp>
        <stp>Y</stp>
        <stp>MTG PREPAY SPEED</stp>
        <stp>30</stp>
        <stp>MTG PREPAY TYP</stp>
        <stp>CPJ</stp>
        <tr r="AA12" s="20"/>
      </tp>
      <tp>
        <v>1.8900000000000001</v>
        <stp/>
        <stp>##V3_BDPV12</stp>
        <stp>US194262CS83 mtge</stp>
        <stp>MTG WAL</stp>
        <stp>[GNMA Mtge Bonds &amp; Swap CF_generator_Mar2016.DUB.xlsm]Analysis - ignore!R41C10</stp>
        <stp xml:space="preserve">ALLOW_DYNAMIC_CASHFLOW_CALCS </stp>
        <stp>Y</stp>
        <stp>MTG PREPAY SPEED</stp>
        <stp>50</stp>
        <stp>MTG PREPAY TYP</stp>
        <stp>PPC</stp>
        <tr r="J41" s="1124"/>
      </tp>
      <tp t="s">
        <v>#N/A N/A</v>
        <stp/>
        <stp>##V3_BDPV12</stp>
        <stp>US36156HAX61 mtge</stp>
        <stp>MTG WAL</stp>
        <stp>[GNMA Mtge Bonds &amp; Swap CF_generator_Mar2016.DUB.xlsm]Analysis - ignore!R56C10</stp>
        <stp xml:space="preserve">ALLOW_DYNAMIC_CASHFLOW_CALCS </stp>
        <stp>Y</stp>
        <stp>MTG PREPAY SPEED</stp>
        <stp>50</stp>
        <stp>MTG PREPAY TYP</stp>
        <stp>PPC</stp>
        <tr r="J56" s="1124"/>
      </tp>
      <tp t="s">
        <v>#N/A N/A</v>
        <stp/>
        <stp>##V3_BDPV12</stp>
        <stp>US640315AC17 mtge</stp>
        <stp>MTG WAL</stp>
        <stp>[GNMA Mtge Bonds &amp; Swap CF_generator_Mar2016.DUB.xlsm]Analysis - ignore!R77C10</stp>
        <stp xml:space="preserve">ALLOW_DYNAMIC_CASHFLOW_CALCS </stp>
        <stp>Y</stp>
        <stp>MTG PREPAY SPEED</stp>
        <stp>50</stp>
        <stp>MTG PREPAY TYP</stp>
        <stp>PPC</stp>
        <tr r="J77" s="1124"/>
      </tp>
      <tp t="s">
        <v>ALGI 2007-1A A1</v>
        <stp/>
        <stp>##V3_BDPV12</stp>
        <stp>US001621AA96 mtge ISIN</stp>
        <stp>SECURITY DES</stp>
        <stp>[GNMA Mtge Bonds &amp; Swap CF_generator_Mar2016.DUB.xlsm]Analysis - ignore!R6C2</stp>
        <tr r="B6" s="1124"/>
      </tp>
      <tp>
        <v>0</v>
        <stp/>
        <stp>##V3_BDPV12</stp>
        <stp>US194262CQ28 mtge ISIN</stp>
        <stp>MTG FACTOR</stp>
        <stp>[GNMA Mtge Bonds &amp; Swap CF_generator_Mar2016.DUB.xlsm]Analysis - ignore!R39C17</stp>
        <tr r="Q39" s="1124"/>
      </tp>
      <tp t="s">
        <v>6/28/2016</v>
        <stp/>
        <stp>##V3_BDPV12</stp>
        <stp>US001621AA96 mtge ISIN</stp>
        <stp>Maturity</stp>
        <stp>[GNMA Mtge Bonds &amp; Swap CF_generator_Mar2016.DUB.xlsm]Analysis - ignore!R6C13</stp>
        <tr r="M6" s="1124"/>
      </tp>
      <tp>
        <v>1</v>
        <stp/>
        <stp>##V3_BDPV12</stp>
        <stp>US00432CCP41 mtge ISIN</stp>
        <stp>MTG FACTOR</stp>
        <stp>[GNMA Mtge Bonds &amp; Swap CF_generator_Mar2016.DUB.xlsm]Analysis - ignore!R12C17</stp>
        <tr r="Q12" s="1124"/>
      </tp>
      <tp>
        <v>1</v>
        <stp/>
        <stp>##V3_BDPV12</stp>
        <stp>US00432CDP32 mtge ISIN</stp>
        <stp>MTG FACTOR</stp>
        <stp>[GNMA Mtge Bonds &amp; Swap CF_generator_Mar2016.DUB.xlsm]Analysis - ignore!R16C17</stp>
        <tr r="Q16" s="1124"/>
      </tp>
      <tp>
        <v>1</v>
        <stp/>
        <stp>##V3_BDPV12</stp>
        <stp>US19458LAV27 mtge ISIN</stp>
        <stp>MTG FACTOR</stp>
        <stp>[GNMA Mtge Bonds &amp; Swap CF_generator_Mar2016.DUB.xlsm]Analysis - ignore!R46C17</stp>
        <tr r="Q46" s="1124"/>
      </tp>
      <tp t="s">
        <v>#N/A N/A</v>
        <stp/>
        <stp>##V3_BDPV12</stp>
        <stp>US194262CR01 mtge</stp>
        <stp>MTG WAL</stp>
        <stp>[GNMA Mtge Bonds &amp; Swap CF_generator_Mar2016.DUB.xlsm]Analysis - ignore!R40C10</stp>
        <stp xml:space="preserve">ALLOW_DYNAMIC_CASHFLOW_CALCS </stp>
        <stp>Y</stp>
        <stp>MTG PREPAY SPEED</stp>
        <stp>50</stp>
        <stp>MTG PREPAY TYP</stp>
        <stp>PPC</stp>
        <tr r="J40" s="1124"/>
      </tp>
      <tp>
        <v>0.50698882140000001</v>
        <stp/>
        <stp>##V3_BDPV12</stp>
        <stp>US10620NAP33 mtge ISIN</stp>
        <stp>MTG FACTOR</stp>
        <stp>[GNMA Mtge Bonds &amp; Swap CF_generator_Mar2016.DUB.xlsm]Analysis - ignore!R26C17</stp>
        <tr r="Q26" s="1124"/>
      </tp>
      <tp>
        <v>1</v>
        <stp/>
        <stp>##V3_BDPV12</stp>
        <stp>US36156HAW88 mtge ISIN</stp>
        <stp>MTG FACTOR</stp>
        <stp>[GNMA Mtge Bonds &amp; Swap CF_generator_Mar2016.DUB.xlsm]Analysis - ignore!R55C17</stp>
        <tr r="Q55" s="1124"/>
      </tp>
      <tp t="s">
        <v>#N/A N/A</v>
        <stp/>
        <stp>##V3_BDPV12</stp>
        <stp>US36156HAQ11 mtge</stp>
        <stp>MTG WAL</stp>
        <stp>[GNMA Mtge Bonds &amp; Swap CF_generator_Mar2016.DUB.xlsm]Analysis - ignore!R54C10</stp>
        <stp xml:space="preserve">ALLOW_DYNAMIC_CASHFLOW_CALCS </stp>
        <stp>Y</stp>
        <stp>MTG PREPAY SPEED</stp>
        <stp>50</stp>
        <stp>MTG PREPAY TYP</stp>
        <stp>PPC</stp>
        <tr r="J54" s="1124"/>
      </tp>
      <tp t="s">
        <v>#N/A N/A</v>
        <stp/>
        <stp>##V3_BDPV12</stp>
        <stp>US12556PAC14 mtge</stp>
        <stp>MTG WAL</stp>
        <stp>[GNMA Mtge Bonds &amp; Swap CF_generator_Mar2016.DUB.xlsm]Analysis - ignore!R30C10</stp>
        <stp xml:space="preserve">ALLOW_DYNAMIC_CASHFLOW_CALCS </stp>
        <stp>Y</stp>
        <stp>MTG PREPAY SPEED</stp>
        <stp>50</stp>
        <stp>MTG PREPAY TYP</stp>
        <stp>PPC</stp>
        <tr r="J30" s="1124"/>
      </tp>
      <tp t="s">
        <v>#N/A N/A</v>
        <stp/>
        <stp>##V3_BDPV12</stp>
        <stp>US10620NAJ72 mtge</stp>
        <stp>MTG WAL</stp>
        <stp>[GNMA Mtge Bonds &amp; Swap CF_generator_Mar2016.DUB.xlsm]Analysis - ignore!R23C10</stp>
        <stp xml:space="preserve">ALLOW_DYNAMIC_CASHFLOW_CALCS </stp>
        <stp>Y</stp>
        <stp>MTG PREPAY SPEED</stp>
        <stp>50</stp>
        <stp>MTG PREPAY TYP</stp>
        <stp>PPC</stp>
        <tr r="J23" s="1124"/>
      </tp>
      <tp t="s">
        <v>ALGI 2007-1A A2</v>
        <stp/>
        <stp>##V3_BDPV12</stp>
        <stp>US001621AB79 mtge ISIN</stp>
        <stp>SECURITY DES</stp>
        <stp>[GNMA Mtge Bonds &amp; Swap CF_generator_Mar2016.DUB.xlsm]Analysis - ignore!R7C2</stp>
        <tr r="B7" s="1124"/>
      </tp>
      <tp>
        <v>0</v>
        <stp/>
        <stp>##V3_BDPV12</stp>
        <stp>US106238KS62 mtge ISIN</stp>
        <stp>MTG FACTOR</stp>
        <stp>[GNMA Mtge Bonds &amp; Swap CF_generator_Mar2016.DUB.xlsm]Analysis - ignore!R28C17</stp>
        <tr r="Q28" s="1124"/>
      </tp>
      <tp>
        <v>0.144720537669</v>
        <stp/>
        <stp>##V3_BDPV12</stp>
        <stp>US612130HP25 mtge ISIN</stp>
        <stp>MTG FACTOR</stp>
        <stp>[GNMA Mtge Bonds &amp; Swap CF_generator_Mar2016.DUB.xlsm]Analysis - ignore!R76C17</stp>
        <tr r="Q76" s="1124"/>
      </tp>
      <tp>
        <v>1</v>
        <stp/>
        <stp>##V3_BDPV12</stp>
        <stp>US64031QBR11 mtge ISIN</stp>
        <stp>MTG FACTOR</stp>
        <stp>[GNMA Mtge Bonds &amp; Swap CF_generator_Mar2016.DUB.xlsm]Analysis - ignore!R83C17</stp>
        <tr r="Q83" s="1124"/>
      </tp>
      <tp>
        <v>1</v>
        <stp/>
        <stp>##V3_BDPV12</stp>
        <stp>US194262CS83 mtge ISIN</stp>
        <stp>MTG FACTOR</stp>
        <stp>[GNMA Mtge Bonds &amp; Swap CF_generator_Mar2016.DUB.xlsm]Analysis - ignore!R41C17</stp>
        <tr r="Q41" s="1124"/>
      </tp>
      <tp>
        <v>0</v>
        <stp/>
        <stp>##V3_BLP</stp>
        <stp>US38374MEF23 Mtge</stp>
        <stp>mtg_wal</stp>
        <stp>[GNMA Mtge Bonds &amp; Swap CF_generator_Mar2016.DUB.xlsm]ISINS_&amp;_SWAPS!R9C24</stp>
        <tr r="X9" s="20"/>
      </tp>
      <tp t="s">
        <v>6/27/2016</v>
        <stp/>
        <stp>##V3_BDPV12</stp>
        <stp>US106238KS62 mtge</stp>
        <stp xml:space="preserve">MTG_NXT_PAY_DT_SET_DT </stp>
        <stp>[GNMA Mtge Bonds &amp; Swap CF_generator_Mar2016.DUB.xlsm]Analysis - ignore!R28C11</stp>
        <tr r="K28" s="1124"/>
      </tp>
      <tp t="s">
        <v>#N/A N/A</v>
        <stp/>
        <stp>##V3_BDPV12</stp>
        <stp>US36156HAW88 mtge</stp>
        <stp>MTG WAL</stp>
        <stp>[GNMA Mtge Bonds &amp; Swap CF_generator_Mar2016.DUB.xlsm]Analysis - ignore!R55C10</stp>
        <stp xml:space="preserve">ALLOW_DYNAMIC_CASHFLOW_CALCS </stp>
        <stp>Y</stp>
        <stp>MTG PREPAY SPEED</stp>
        <stp>50</stp>
        <stp>MTG PREPAY TYP</stp>
        <stp>PPC</stp>
        <tr r="J55" s="1124"/>
      </tp>
      <tp>
        <v>4.9000000000000004</v>
        <stp/>
        <stp>##V3_BDPV12</stp>
        <stp>US194262CT66 mtge</stp>
        <stp>MTG WAL</stp>
        <stp>[GNMA Mtge Bonds &amp; Swap CF_generator_Mar2016.DUB.xlsm]Analysis - ignore!R42C10</stp>
        <stp xml:space="preserve">ALLOW_DYNAMIC_CASHFLOW_CALCS </stp>
        <stp>Y</stp>
        <stp>MTG PREPAY SPEED</stp>
        <stp>50</stp>
        <stp>MTG PREPAY TYP</stp>
        <stp>PPC</stp>
        <tr r="J42" s="1124"/>
      </tp>
      <tp t="s">
        <v>#N/A N/A</v>
        <stp/>
        <stp>##V3_BDPV12</stp>
        <stp>US12556PAD96 mtge</stp>
        <stp>MTG WAL</stp>
        <stp>[GNMA Mtge Bonds &amp; Swap CF_generator_Mar2016.DUB.xlsm]Analysis - ignore!R31C10</stp>
        <stp xml:space="preserve">ALLOW_DYNAMIC_CASHFLOW_CALCS </stp>
        <stp>Y</stp>
        <stp>MTG PREPAY SPEED</stp>
        <stp>50</stp>
        <stp>MTG PREPAY TYP</stp>
        <stp>PPC</stp>
        <tr r="J31" s="1124"/>
      </tp>
      <tp>
        <v>1</v>
        <stp/>
        <stp>##V3_BDPV12</stp>
        <stp>US194262CR01 mtge ISIN</stp>
        <stp>MTG FACTOR</stp>
        <stp>[GNMA Mtge Bonds &amp; Swap CF_generator_Mar2016.DUB.xlsm]Analysis - ignore!R40C17</stp>
        <tr r="Q40" s="1124"/>
      </tp>
      <tp>
        <v>0.83310752688199996</v>
        <stp/>
        <stp>##V3_BDPV12</stp>
        <stp>US64031RAS85 mtge ISIN</stp>
        <stp>MTG FACTOR</stp>
        <stp>[GNMA Mtge Bonds &amp; Swap CF_generator_Mar2016.DUB.xlsm]Analysis - ignore!R87C17</stp>
        <tr r="Q87" s="1124"/>
      </tp>
      <tp>
        <v>0.94244973310000002</v>
        <stp/>
        <stp>##V3_BDPV12</stp>
        <stp>US64031QCS84 mtge ISIN</stp>
        <stp>MTG FACTOR</stp>
        <stp>[GNMA Mtge Bonds &amp; Swap CF_generator_Mar2016.DUB.xlsm]Analysis - ignore!R86C17</stp>
        <tr r="Q86" s="1124"/>
      </tp>
      <tp t="s">
        <v>9/1/2016</v>
        <stp/>
        <stp>##V3_BDPV12</stp>
        <stp>US658262DV99 mtge</stp>
        <stp xml:space="preserve">MTG_NXT_PAY_DT_SET_DT </stp>
        <stp>[GNMA Mtge Bonds &amp; Swap CF_generator_Mar2016.DUB.xlsm]Analysis - ignore!R96C11</stp>
        <tr r="K96" s="1124"/>
      </tp>
      <tp>
        <v>0.16</v>
        <stp/>
        <stp>##V3_BDPV12</stp>
        <stp>US38373MSC54 mtge</stp>
        <stp>mtg wal</stp>
        <stp>[GNMA Mtge Bonds &amp; Swap CF_generator_Mar2016.DUB.xlsm]ISINS_&amp;_SWAPS!R21C27</stp>
        <stp xml:space="preserve">ALLOW_DYNAMIC_CASHFLOW_CALCS </stp>
        <stp>Y</stp>
        <stp>MTG PREPAY SPEED</stp>
        <stp>30</stp>
        <stp>MTG PREPAY TYP</stp>
        <stp>CPJ</stp>
        <tr r="AA21" s="20"/>
      </tp>
      <tp t="s">
        <v>GOVERNMENT NATIONAL MORTGAGE A</v>
        <stp/>
        <stp>##V3_BLP</stp>
        <stp>US38373MSC54 Mtge</stp>
        <stp>issuer</stp>
        <stp>[GNMA Mtge Bonds &amp; Swap CF_generator_Mar2016.DUB.xlsm]ISINS_&amp;_SWAPS!R10C10</stp>
        <tr r="J10" s="20"/>
      </tp>
      <tp t="s">
        <v>GOVERNMENT NATIONAL MORTGAGE A</v>
        <stp/>
        <stp>##V3_BLP</stp>
        <stp>US38373MSC54 Mtge</stp>
        <stp>issuer</stp>
        <stp>[GNMA Mtge Bonds &amp; Swap CF_generator_Mar2016.DUB.xlsm]ISINS_&amp;_SWAPS!R21C10</stp>
        <tr r="J21" s="20"/>
      </tp>
      <tp t="s">
        <v>GOVERNMENT NATIONAL MORTGAGE A</v>
        <stp/>
        <stp>##V3_BLP</stp>
        <stp>US38373MSC54 Mtge</stp>
        <stp>issuer</stp>
        <stp>[GNMA Mtge Bonds &amp; Swap CF_generator_Mar2016.DUB.xlsm]ISINS_&amp;_SWAPS!R20C10</stp>
        <tr r="J20" s="20"/>
      </tp>
      <tp t="s">
        <v>#N/A N/A</v>
        <stp/>
        <stp>##V3_BDPV12</stp>
        <stp>US36156HAP38 mtge</stp>
        <stp>MTG WAL</stp>
        <stp>[GNMA Mtge Bonds &amp; Swap CF_generator_Mar2016.DUB.xlsm]Analysis - ignore!R53C10</stp>
        <stp xml:space="preserve">ALLOW_DYNAMIC_CASHFLOW_CALCS </stp>
        <stp>Y</stp>
        <stp>MTG PREPAY SPEED</stp>
        <stp>50</stp>
        <stp>MTG PREPAY TYP</stp>
        <stp>PPC</stp>
        <tr r="J53" s="1124"/>
      </tp>
      <tp t="s">
        <v>#N/A N/A</v>
        <stp/>
        <stp>##V3_BDPV12</stp>
        <stp>US106238LE67 mtge</stp>
        <stp>MTG WAL</stp>
        <stp>[GNMA Mtge Bonds &amp; Swap CF_generator_Mar2016.DUB.xlsm]Analysis - ignore!R29C10</stp>
        <stp xml:space="preserve">ALLOW_DYNAMIC_CASHFLOW_CALCS </stp>
        <stp>Y</stp>
        <stp>MTG PREPAY SPEED</stp>
        <stp>50</stp>
        <stp>MTG PREPAY TYP</stp>
        <stp>PPS</stp>
        <tr r="J29" s="1124"/>
      </tp>
      <tp>
        <v>0.16</v>
        <stp/>
        <stp>##V3_BDPV12</stp>
        <stp>US38373MSC54 mtge</stp>
        <stp>mtg wal</stp>
        <stp>[GNMA Mtge Bonds &amp; Swap CF_generator_Mar2016.DUB.xlsm]ISINS_&amp;_SWAPS!R10C27</stp>
        <stp xml:space="preserve">ALLOW_DYNAMIC_CASHFLOW_CALCS </stp>
        <stp>Y</stp>
        <stp>MTG PREPAY SPEED</stp>
        <stp>30</stp>
        <stp>MTG PREPAY TYP</stp>
        <stp>CPJ</stp>
        <tr r="AA10" s="20"/>
      </tp>
      <tp>
        <v>0.16</v>
        <stp/>
        <stp>##V3_BDPV12</stp>
        <stp>US38373MSC54 mtge</stp>
        <stp>mtg wal</stp>
        <stp>[GNMA Mtge Bonds &amp; Swap CF_generator_Mar2016.DUB.xlsm]ISINS_&amp;_SWAPS!R20C27</stp>
        <stp xml:space="preserve">ALLOW_DYNAMIC_CASHFLOW_CALCS </stp>
        <stp>Y</stp>
        <stp>MTG PREPAY SPEED</stp>
        <stp>30</stp>
        <stp>MTG PREPAY TYP</stp>
        <stp>CPJ</stp>
        <tr r="AA20" s="20"/>
      </tp>
      <tp t="s">
        <v>#N/A N/A</v>
        <stp/>
        <stp>##V3_BDPV12</stp>
        <stp>US10620NAK46 mtge</stp>
        <stp>MTG WAL</stp>
        <stp>[GNMA Mtge Bonds &amp; Swap CF_generator_Mar2016.DUB.xlsm]Analysis - ignore!R24C10</stp>
        <stp xml:space="preserve">ALLOW_DYNAMIC_CASHFLOW_CALCS </stp>
        <stp>Y</stp>
        <stp>MTG PREPAY SPEED</stp>
        <stp>50</stp>
        <stp>MTG PREPAY TYP</stp>
        <stp>PPC</stp>
        <tr r="J24" s="1124"/>
      </tp>
      <tp t="s">
        <v>GNR 2005-76 B</v>
        <stp/>
        <stp>##V3_BLP</stp>
        <stp>US38374MEF23 Mtge</stp>
        <stp>Name</stp>
        <stp>[GNMA Mtge Bonds &amp; Swap CF_generator_Mar2016.DUB.xlsm]ISINS_&amp;_SWAPS!R9C9</stp>
        <tr r="I9" s="20"/>
      </tp>
      <tp>
        <v>1</v>
        <stp/>
        <stp>##V3_BDPV12</stp>
        <stp>US194262CT66 mtge ISIN</stp>
        <stp>MTG FACTOR</stp>
        <stp>[GNMA Mtge Bonds &amp; Swap CF_generator_Mar2016.DUB.xlsm]Analysis - ignore!R42C17</stp>
        <tr r="Q42" s="1124"/>
      </tp>
      <tp t="s">
        <v>6/20/2016</v>
        <stp/>
        <stp>##V3_BDPV12</stp>
        <stp>US612130HN76 mtge</stp>
        <stp xml:space="preserve">MTG_NXT_PAY_DT_SET_DT </stp>
        <stp>[GNMA Mtge Bonds &amp; Swap CF_generator_Mar2016.DUB.xlsm]Analysis - ignore!R75C11</stp>
        <tr r="K75" s="1124"/>
      </tp>
      <tp t="s">
        <v>#N/A N/A</v>
        <stp/>
        <stp>##V3_BDPV12</stp>
        <stp>US001621AC52 mtge</stp>
        <stp>MTG WAL</stp>
        <stp>[GNMA Mtge Bonds &amp; Swap CF_generator_Mar2016.DUB.xlsm]Analysis - ignore!R8C10</stp>
        <stp xml:space="preserve">ALLOW_DYNAMIC_CASHFLOW_CALCS </stp>
        <stp>Y</stp>
        <stp>MTG PREPAY SPEED</stp>
        <stp>0</stp>
        <stp>MTG PREPAY TYP</stp>
        <stp>CPR</stp>
        <tr r="J8" s="1124"/>
      </tp>
      <tp t="s">
        <v>6/27/2016</v>
        <stp/>
        <stp>##V3_BDPV12</stp>
        <stp>US106238LE67 mtge</stp>
        <stp xml:space="preserve">MTG_NXT_PAY_DT_SET_DT </stp>
        <stp>[GNMA Mtge Bonds &amp; Swap CF_generator_Mar2016.DUB.xlsm]Analysis - ignore!R29C11</stp>
        <tr r="K29" s="1124"/>
      </tp>
      <tp t="s">
        <v>6/20/2016</v>
        <stp/>
        <stp>##V3_BDPV12</stp>
        <stp>US612130HP25 mtge</stp>
        <stp xml:space="preserve">MTG_NXT_PAY_DT_SET_DT </stp>
        <stp>[GNMA Mtge Bonds &amp; Swap CF_generator_Mar2016.DUB.xlsm]Analysis - ignore!R76C11</stp>
        <tr r="K76" s="1124"/>
      </tp>
      <tp t="s">
        <v>#N/A N/A</v>
        <stp/>
        <stp>##V3_BDPV12</stp>
        <stp>US00432CCF68 mtge</stp>
        <stp>MTG WAL</stp>
        <stp>[GNMA Mtge Bonds &amp; Swap CF_generator_Mar2016.DUB.xlsm]Analysis - ignore!R9C10</stp>
        <stp xml:space="preserve">ALLOW_DYNAMIC_CASHFLOW_CALCS </stp>
        <stp>Y</stp>
        <stp>MTG PREPAY SPEED</stp>
        <stp>0</stp>
        <stp>MTG PREPAY TYP</stp>
        <stp>CPR</stp>
        <tr r="J9" s="1124"/>
      </tp>
      <tp>
        <v>3.7800000000000002</v>
        <stp/>
        <stp>##V3_BDPV12</stp>
        <stp>US64032FAG90 mtge</stp>
        <stp>MTG WAL</stp>
        <stp>[GNMA Mtge Bonds &amp; Swap CF_generator_Mar2016.DUB.xlsm]Analysis - ignore!R91C10</stp>
        <stp xml:space="preserve">ALLOW_DYNAMIC_CASHFLOW_CALCS </stp>
        <stp>Y</stp>
        <stp>MTG PREPAY SPEED</stp>
        <stp>50</stp>
        <stp>MTG PREPAY TYP</stp>
        <stp>PPC</stp>
        <tr r="J91" s="1124"/>
      </tp>
      <tp t="s">
        <v>#N/A N/A</v>
        <stp/>
        <stp>##V3_BDPV12</stp>
        <stp>US194262CJ84 mtge</stp>
        <stp>MTG WAL</stp>
        <stp>[GNMA Mtge Bonds &amp; Swap CF_generator_Mar2016.DUB.xlsm]Analysis - ignore!R37C10</stp>
        <stp xml:space="preserve">ALLOW_DYNAMIC_CASHFLOW_CALCS </stp>
        <stp>Y</stp>
        <stp>MTG PREPAY SPEED</stp>
        <stp>50</stp>
        <stp>MTG PREPAY TYP</stp>
        <stp>PPC</stp>
        <tr r="J37" s="1124"/>
      </tp>
      <tp>
        <v>0</v>
        <stp/>
        <stp>##V3_BDPV12</stp>
        <stp>US36156HAP38 mtge ISIN</stp>
        <stp>MTG FACTOR</stp>
        <stp>[GNMA Mtge Bonds &amp; Swap CF_generator_Mar2016.DUB.xlsm]Analysis - ignore!R53C17</stp>
        <tr r="Q53" s="1124"/>
      </tp>
      <tp>
        <v>1</v>
        <stp/>
        <stp>##V3_BDPV12</stp>
        <stp>US36156YAP60 mtge ISIN</stp>
        <stp>MTG FACTOR</stp>
        <stp>[GNMA Mtge Bonds &amp; Swap CF_generator_Mar2016.DUB.xlsm]Analysis - ignore!R60C17</stp>
        <tr r="Q60" s="1124"/>
      </tp>
      <tp>
        <v>5.89</v>
        <stp/>
        <stp>##V3_BDPV12</stp>
        <stp>US36156YAQ44 mtge</stp>
        <stp>MTG WAL</stp>
        <stp>[GNMA Mtge Bonds &amp; Swap CF_generator_Mar2016.DUB.xlsm]Analysis - ignore!R61C10</stp>
        <stp xml:space="preserve">ALLOW_DYNAMIC_CASHFLOW_CALCS </stp>
        <stp>Y</stp>
        <stp>MTG PREPAY SPEED</stp>
        <stp>50</stp>
        <stp>MTG PREPAY TYP</stp>
        <stp>PPS</stp>
        <tr r="J61" s="1124"/>
      </tp>
      <tp>
        <v>12.19</v>
        <stp/>
        <stp>##V3_BDPV12</stp>
        <stp>US64032EAD94 mtge</stp>
        <stp>MTG WAL</stp>
        <stp>[GNMA Mtge Bonds &amp; Swap CF_generator_Mar2016.DUB.xlsm]Analysis - ignore!R90C10</stp>
        <stp xml:space="preserve">ALLOW_DYNAMIC_CASHFLOW_CALCS </stp>
        <stp>Y</stp>
        <stp>MTG PREPAY SPEED</stp>
        <stp>50</stp>
        <stp>MTG PREPAY TYP</stp>
        <stp>PPC</stp>
        <tr r="J90" s="1124"/>
      </tp>
      <tp t="s">
        <v>#N/A N/A</v>
        <stp/>
        <stp>##V3_BDPV12</stp>
        <stp>US194262CH29 mtge</stp>
        <stp>MTG WAL</stp>
        <stp>[GNMA Mtge Bonds &amp; Swap CF_generator_Mar2016.DUB.xlsm]Analysis - ignore!R36C10</stp>
        <stp xml:space="preserve">ALLOW_DYNAMIC_CASHFLOW_CALCS </stp>
        <stp>Y</stp>
        <stp>MTG PREPAY SPEED</stp>
        <stp>50</stp>
        <stp>MTG PREPAY TYP</stp>
        <stp>PPC</stp>
        <tr r="J36" s="1124"/>
      </tp>
      <tp>
        <v>0.33730612240000002</v>
        <stp/>
        <stp>##V3_BDPV12</stp>
        <stp>US36156HAQ11 mtge ISIN</stp>
        <stp>MTG FACTOR</stp>
        <stp>[GNMA Mtge Bonds &amp; Swap CF_generator_Mar2016.DUB.xlsm]Analysis - ignore!R54C17</stp>
        <tr r="Q54" s="1124"/>
      </tp>
      <tp>
        <v>1</v>
        <stp/>
        <stp>##V3_BDPV12</stp>
        <stp>US36156YAQ44 mtge ISIN</stp>
        <stp>MTG FACTOR</stp>
        <stp>[GNMA Mtge Bonds &amp; Swap CF_generator_Mar2016.DUB.xlsm]Analysis - ignore!R61C17</stp>
        <tr r="Q61" s="1124"/>
      </tp>
      <tp>
        <v>0</v>
        <stp/>
        <stp>##V3_BDPV12</stp>
        <stp>US658262DV99 mtge ISIN</stp>
        <stp>MTG FACTOR</stp>
        <stp>[GNMA Mtge Bonds &amp; Swap CF_generator_Mar2016.DUB.xlsm]Analysis - ignore!R96C17</stp>
        <tr r="Q96" s="1124"/>
      </tp>
      <tp t="s">
        <v>#N/A N/A</v>
        <stp/>
        <stp>##V3_BDPV12</stp>
        <stp>US001621AB79 mtge</stp>
        <stp>MTG WAL</stp>
        <stp>[GNMA Mtge Bonds &amp; Swap CF_generator_Mar2016.DUB.xlsm]Analysis - ignore!R7C10</stp>
        <stp xml:space="preserve">ALLOW_DYNAMIC_CASHFLOW_CALCS </stp>
        <stp>Y</stp>
        <stp>MTG PREPAY SPEED</stp>
        <stp>0</stp>
        <stp>MTG PREPAY TYP</stp>
        <stp>CPR</stp>
        <tr r="J7" s="1124"/>
      </tp>
      <tp t="s">
        <v>#N/A N/A</v>
        <stp/>
        <stp>##V3_BDPV12</stp>
        <stp>US194262CQ28 mtge</stp>
        <stp>MTG WAL</stp>
        <stp>[GNMA Mtge Bonds &amp; Swap CF_generator_Mar2016.DUB.xlsm]Analysis - ignore!R39C10</stp>
        <stp xml:space="preserve">ALLOW_DYNAMIC_CASHFLOW_CALCS </stp>
        <stp>Y</stp>
        <stp>MTG PREPAY SPEED</stp>
        <stp>50</stp>
        <stp>MTG PREPAY TYP</stp>
        <stp>PPC</stp>
        <tr r="J39" s="1124"/>
      </tp>
      <tp>
        <v>1</v>
        <stp/>
        <stp>##V3_BDPV12</stp>
        <stp>US64031QBX88 mtge ISIN</stp>
        <stp>MTG FACTOR</stp>
        <stp>[GNMA Mtge Bonds &amp; Swap CF_generator_Mar2016.DUB.xlsm]Analysis - ignore!R84C17</stp>
        <tr r="Q84" s="1124"/>
      </tp>
      <tp t="s">
        <v>7/25/2016</v>
        <stp/>
        <stp>##V3_BDPV12</stp>
        <stp>US194262CH29 mtge</stp>
        <stp xml:space="preserve">MTG_NXT_PAY_DT_SET_DT </stp>
        <stp>[GNMA Mtge Bonds &amp; Swap CF_generator_Mar2016.DUB.xlsm]Analysis - ignore!R36C11</stp>
        <tr r="K36" s="1124"/>
      </tp>
      <tp t="s">
        <v>7/25/2016</v>
        <stp/>
        <stp>##V3_BDPV12</stp>
        <stp>US194262CJ84 mtge</stp>
        <stp xml:space="preserve">MTG_NXT_PAY_DT_SET_DT </stp>
        <stp>[GNMA Mtge Bonds &amp; Swap CF_generator_Mar2016.DUB.xlsm]Analysis - ignore!R37C11</stp>
        <tr r="K37" s="1124"/>
      </tp>
      <tp t="s">
        <v>6/27/2016</v>
        <stp/>
        <stp>##V3_BDPV12</stp>
        <stp>US10620NAJ72 mtge</stp>
        <stp xml:space="preserve">MTG_NXT_PAY_DT_SET_DT </stp>
        <stp>[GNMA Mtge Bonds &amp; Swap CF_generator_Mar2016.DUB.xlsm]Analysis - ignore!R23C11</stp>
        <tr r="K23" s="1124"/>
      </tp>
      <tp t="s">
        <v>6/27/2016</v>
        <stp/>
        <stp>##V3_BDPV12</stp>
        <stp>US10620NAK46 mtge</stp>
        <stp xml:space="preserve">MTG_NXT_PAY_DT_SET_DT </stp>
        <stp>[GNMA Mtge Bonds &amp; Swap CF_generator_Mar2016.DUB.xlsm]Analysis - ignore!R24C11</stp>
        <tr r="K24" s="1124"/>
      </tp>
      <tp t="s">
        <v>7/25/2016</v>
        <stp/>
        <stp>##V3_BDPV12</stp>
        <stp>US194262CL31 mtge</stp>
        <stp xml:space="preserve">MTG_NXT_PAY_DT_SET_DT </stp>
        <stp>[GNMA Mtge Bonds &amp; Swap CF_generator_Mar2016.DUB.xlsm]Analysis - ignore!R38C11</stp>
        <tr r="K38" s="1124"/>
      </tp>
      <tp t="s">
        <v>8/22/2016</v>
        <stp/>
        <stp>##V3_BDPV12</stp>
        <stp>US00432CCM10 mtge</stp>
        <stp xml:space="preserve">MTG_NXT_PAY_DT_SET_DT </stp>
        <stp>[GNMA Mtge Bonds &amp; Swap CF_generator_Mar2016.DUB.xlsm]Analysis - ignore!R11C11</stp>
        <tr r="K11" s="1124"/>
      </tp>
      <tp t="s">
        <v>6/27/2016</v>
        <stp/>
        <stp>##V3_BDPV12</stp>
        <stp>US10620NAN84 mtge</stp>
        <stp xml:space="preserve">MTG_NXT_PAY_DT_SET_DT </stp>
        <stp>[GNMA Mtge Bonds &amp; Swap CF_generator_Mar2016.DUB.xlsm]Analysis - ignore!R25C11</stp>
        <tr r="K25" s="1124"/>
      </tp>
      <tp t="s">
        <v>6/27/2016</v>
        <stp/>
        <stp>##V3_BDPV12</stp>
        <stp>US10620NAE85 mtge</stp>
        <stp xml:space="preserve">MTG_NXT_PAY_DT_SET_DT </stp>
        <stp>[GNMA Mtge Bonds &amp; Swap CF_generator_Mar2016.DUB.xlsm]Analysis - ignore!R22C11</stp>
        <tr r="K22" s="1124"/>
      </tp>
      <tp t="s">
        <v>6/22/2016</v>
        <stp/>
        <stp>##V3_BDPV12</stp>
        <stp>US00432CCG42 mtge</stp>
        <stp xml:space="preserve">MTG_NXT_PAY_DT_SET_DT </stp>
        <stp>[GNMA Mtge Bonds &amp; Swap CF_generator_Mar2016.DUB.xlsm]Analysis - ignore!R10C11</stp>
        <tr r="K10" s="1124"/>
      </tp>
      <tp t="s">
        <v>6/27/2016</v>
        <stp/>
        <stp>##V3_BDPV12</stp>
        <stp>US10620NAX66 mtge</stp>
        <stp xml:space="preserve">MTG_NXT_PAY_DT_SET_DT </stp>
        <stp>[GNMA Mtge Bonds &amp; Swap CF_generator_Mar2016.DUB.xlsm]Analysis - ignore!R27C11</stp>
        <tr r="K27" s="1124"/>
      </tp>
      <tp t="s">
        <v>6/27/2016</v>
        <stp/>
        <stp>##V3_BDPV12</stp>
        <stp>US10620NAP33 mtge</stp>
        <stp xml:space="preserve">MTG_NXT_PAY_DT_SET_DT </stp>
        <stp>[GNMA Mtge Bonds &amp; Swap CF_generator_Mar2016.DUB.xlsm]Analysis - ignore!R26C11</stp>
        <tr r="K26" s="1124"/>
      </tp>
      <tp t="s">
        <v>7/25/2016</v>
        <stp/>
        <stp>##V3_BDPV12</stp>
        <stp>US194262CQ28 mtge</stp>
        <stp xml:space="preserve">MTG_NXT_PAY_DT_SET_DT </stp>
        <stp>[GNMA Mtge Bonds &amp; Swap CF_generator_Mar2016.DUB.xlsm]Analysis - ignore!R39C11</stp>
        <tr r="K39" s="1124"/>
      </tp>
      <tp t="s">
        <v>8/22/2016</v>
        <stp/>
        <stp>##V3_BDPV12</stp>
        <stp>US00432CCP41 mtge</stp>
        <stp xml:space="preserve">MTG_NXT_PAY_DT_SET_DT </stp>
        <stp>[GNMA Mtge Bonds &amp; Swap CF_generator_Mar2016.DUB.xlsm]Analysis - ignore!R12C11</stp>
        <tr r="K12" s="1124"/>
      </tp>
      <tp t="s">
        <v>7/25/2016</v>
        <stp/>
        <stp>##V3_BDPV12</stp>
        <stp>US194262CR01 mtge</stp>
        <stp xml:space="preserve">MTG_NXT_PAY_DT_SET_DT </stp>
        <stp>[GNMA Mtge Bonds &amp; Swap CF_generator_Mar2016.DUB.xlsm]Analysis - ignore!R40C11</stp>
        <tr r="K40" s="1124"/>
      </tp>
      <tp t="s">
        <v>7/25/2016</v>
        <stp/>
        <stp>##V3_BDPV12</stp>
        <stp>US194262CS83 mtge</stp>
        <stp xml:space="preserve">MTG_NXT_PAY_DT_SET_DT </stp>
        <stp>[GNMA Mtge Bonds &amp; Swap CF_generator_Mar2016.DUB.xlsm]Analysis - ignore!R41C11</stp>
        <tr r="K41" s="1124"/>
      </tp>
      <tp t="s">
        <v>7/25/2016</v>
        <stp/>
        <stp>##V3_BDPV12</stp>
        <stp>US194262CT66 mtge</stp>
        <stp xml:space="preserve">MTG_NXT_PAY_DT_SET_DT </stp>
        <stp>[GNMA Mtge Bonds &amp; Swap CF_generator_Mar2016.DUB.xlsm]Analysis - ignore!R42C11</stp>
        <tr r="K42" s="1124"/>
      </tp>
      <tp t="s">
        <v>#N/A N/A</v>
        <stp/>
        <stp>##V3_BDPV12</stp>
        <stp>US194262CL31 mtge</stp>
        <stp>MTG WAL</stp>
        <stp>[GNMA Mtge Bonds &amp; Swap CF_generator_Mar2016.DUB.xlsm]Analysis - ignore!R38C10</stp>
        <stp xml:space="preserve">ALLOW_DYNAMIC_CASHFLOW_CALCS </stp>
        <stp>Y</stp>
        <stp>MTG PREPAY SPEED</stp>
        <stp>50</stp>
        <stp>MTG PREPAY TYP</stp>
        <stp>PPC</stp>
        <tr r="J38" s="1124"/>
      </tp>
      <tp>
        <v>1</v>
        <stp/>
        <stp>##V3_BDPV12</stp>
        <stp>US10620NAX66 mtge ISIN</stp>
        <stp>MTG FACTOR</stp>
        <stp>[GNMA Mtge Bonds &amp; Swap CF_generator_Mar2016.DUB.xlsm]Analysis - ignore!R27C17</stp>
        <tr r="Q27" s="1124"/>
      </tp>
      <tp>
        <v>0</v>
        <stp/>
        <stp>##V3_BDPV12</stp>
        <stp>US66704JAZ12 mtge ISIN</stp>
        <stp>MTG FACTOR</stp>
        <stp>[GNMA Mtge Bonds &amp; Swap CF_generator_Mar2016.DUB.xlsm]Analysis - ignore!R97C17</stp>
        <tr r="Q97" s="1124"/>
      </tp>
      <tp t="s">
        <v>9/1/2016</v>
        <stp/>
        <stp>##V3_BDPV12</stp>
        <stp>US040504FK32 mtge</stp>
        <stp xml:space="preserve">MTG_NXT_PAY_DT_SET_DT </stp>
        <stp>[GNMA Mtge Bonds &amp; Swap CF_generator_Mar2016.DUB.xlsm]Analysis - ignore!R21C11</stp>
        <tr r="K21" s="1124"/>
      </tp>
      <tp t="s">
        <v>6/28/2016</v>
        <stp/>
        <stp>##V3_BDPV12</stp>
        <stp>US19458LBH24 mtge</stp>
        <stp xml:space="preserve">MTG_NXT_PAY_DT_SET_DT </stp>
        <stp>[GNMA Mtge Bonds &amp; Swap CF_generator_Mar2016.DUB.xlsm]Analysis - ignore!R50C11</stp>
        <tr r="K50" s="1124"/>
      </tp>
      <tp t="s">
        <v>6/28/2016</v>
        <stp/>
        <stp>##V3_BDPV12</stp>
        <stp>US19458LBG41 mtge</stp>
        <stp xml:space="preserve">MTG_NXT_PAY_DT_SET_DT </stp>
        <stp>[GNMA Mtge Bonds &amp; Swap CF_generator_Mar2016.DUB.xlsm]Analysis - ignore!R49C11</stp>
        <tr r="K49" s="1124"/>
      </tp>
      <tp t="s">
        <v>6/28/2016</v>
        <stp/>
        <stp>##V3_BDPV12</stp>
        <stp>US19458LBC37 mtge</stp>
        <stp xml:space="preserve">MTG_NXT_PAY_DT_SET_DT </stp>
        <stp>[GNMA Mtge Bonds &amp; Swap CF_generator_Mar2016.DUB.xlsm]Analysis - ignore!R48C11</stp>
        <tr r="K48" s="1124"/>
      </tp>
      <tp t="s">
        <v>6/28/2016</v>
        <stp/>
        <stp>##V3_BDPV12</stp>
        <stp>US19458LBB53 mtge</stp>
        <stp xml:space="preserve">MTG_NXT_PAY_DT_SET_DT </stp>
        <stp>[GNMA Mtge Bonds &amp; Swap CF_generator_Mar2016.DUB.xlsm]Analysis - ignore!R47C11</stp>
        <tr r="K47" s="1124"/>
      </tp>
      <tp t="s">
        <v>7/28/2016</v>
        <stp/>
        <stp>##V3_BDPV12</stp>
        <stp>US66704JAZ12 mtge</stp>
        <stp xml:space="preserve">MTG_NXT_PAY_DT_SET_DT </stp>
        <stp>[GNMA Mtge Bonds &amp; Swap CF_generator_Mar2016.DUB.xlsm]Analysis - ignore!R97C11</stp>
        <tr r="K97" s="1124"/>
      </tp>
      <tp t="s">
        <v>7/28/2016</v>
        <stp/>
        <stp>##V3_BDPV12</stp>
        <stp>US66704JBB35 mtge</stp>
        <stp xml:space="preserve">MTG_NXT_PAY_DT_SET_DT </stp>
        <stp>[GNMA Mtge Bonds &amp; Swap CF_generator_Mar2016.DUB.xlsm]Analysis - ignore!R99C11</stp>
        <tr r="K99" s="1124"/>
      </tp>
      <tp t="s">
        <v>7/15/2016</v>
        <stp/>
        <stp>##V3_BDPV12</stp>
        <stp>US194266AB80 mtge</stp>
        <stp xml:space="preserve">MTG_NXT_PAY_DT_SET_DT </stp>
        <stp>[GNMA Mtge Bonds &amp; Swap CF_generator_Mar2016.DUB.xlsm]Analysis - ignore!R43C11</stp>
        <tr r="K43" s="1124"/>
      </tp>
      <tp t="s">
        <v>7/25/2016</v>
        <stp/>
        <stp>##V3_BDPV12</stp>
        <stp>US194268AB47 mtge</stp>
        <stp xml:space="preserve">MTG_NXT_PAY_DT_SET_DT </stp>
        <stp>[GNMA Mtge Bonds &amp; Swap CF_generator_Mar2016.DUB.xlsm]Analysis - ignore!R45C11</stp>
        <tr r="K45" s="1124"/>
      </tp>
      <tp t="s">
        <v>7/28/2016</v>
        <stp/>
        <stp>##V3_BDPV12</stp>
        <stp>US66704JBA51 mtge</stp>
        <stp xml:space="preserve">MTG_NXT_PAY_DT_SET_DT </stp>
        <stp>[GNMA Mtge Bonds &amp; Swap CF_generator_Mar2016.DUB.xlsm]Analysis - ignore!R98C11</stp>
        <tr r="K98" s="1124"/>
      </tp>
      <tp t="s">
        <v>7/15/2016</v>
        <stp/>
        <stp>##V3_BDPV12</stp>
        <stp>US194266AD47 mtge</stp>
        <stp xml:space="preserve">MTG_NXT_PAY_DT_SET_DT </stp>
        <stp>[GNMA Mtge Bonds &amp; Swap CF_generator_Mar2016.DUB.xlsm]Analysis - ignore!R44C11</stp>
        <tr r="K44" s="1124"/>
      </tp>
      <tp t="s">
        <v>6/28/2016</v>
        <stp/>
        <stp>##V3_BDPV12</stp>
        <stp>US19458LAV27 mtge</stp>
        <stp xml:space="preserve">MTG_NXT_PAY_DT_SET_DT </stp>
        <stp>[GNMA Mtge Bonds &amp; Swap CF_generator_Mar2016.DUB.xlsm]Analysis - ignore!R46C11</stp>
        <tr r="K46" s="1124"/>
      </tp>
      <tp t="s">
        <v>7/28/2016</v>
        <stp/>
        <stp>##V3_BDPV12</stp>
        <stp>US01551DAL64 mtge</stp>
        <stp xml:space="preserve">MTG_NXT_PAY_DT_SET_DT </stp>
        <stp>[GNMA Mtge Bonds &amp; Swap CF_generator_Mar2016.DUB.xlsm]Analysis - ignore!R20C11</stp>
        <tr r="K20" s="1124"/>
      </tp>
      <tp t="s">
        <v>7/28/2016</v>
        <stp/>
        <stp>##V3_BDPV12</stp>
        <stp>US01551DAK81 mtge</stp>
        <stp xml:space="preserve">MTG_NXT_PAY_DT_SET_DT </stp>
        <stp>[GNMA Mtge Bonds &amp; Swap CF_generator_Mar2016.DUB.xlsm]Analysis - ignore!R19C11</stp>
        <tr r="K19" s="1124"/>
      </tp>
      <tp t="s">
        <v>7/28/2016</v>
        <stp/>
        <stp>##V3_BDPV12</stp>
        <stp>US01551DAJ19 mtge</stp>
        <stp xml:space="preserve">MTG_NXT_PAY_DT_SET_DT </stp>
        <stp>[GNMA Mtge Bonds &amp; Swap CF_generator_Mar2016.DUB.xlsm]Analysis - ignore!R18C11</stp>
        <tr r="K18" s="1124"/>
      </tp>
      <tp t="s">
        <v>7/28/2016</v>
        <stp/>
        <stp>##V3_BDPV12</stp>
        <stp>US01551DAH52 mtge</stp>
        <stp xml:space="preserve">MTG_NXT_PAY_DT_SET_DT </stp>
        <stp>[GNMA Mtge Bonds &amp; Swap CF_generator_Mar2016.DUB.xlsm]Analysis - ignore!R17C11</stp>
        <tr r="K17" s="1124"/>
      </tp>
      <tp t="s">
        <v>6/15/2016</v>
        <stp/>
        <stp>##V3_BDPV12</stp>
        <stp>US12556PAD96 mtge</stp>
        <stp xml:space="preserve">MTG_NXT_PAY_DT_SET_DT </stp>
        <stp>[GNMA Mtge Bonds &amp; Swap CF_generator_Mar2016.DUB.xlsm]Analysis - ignore!R31C11</stp>
        <tr r="K31" s="1124"/>
      </tp>
      <tp t="s">
        <v>6/15/2016</v>
        <stp/>
        <stp>##V3_BDPV12</stp>
        <stp>US12556PAC14 mtge</stp>
        <stp xml:space="preserve">MTG_NXT_PAY_DT_SET_DT </stp>
        <stp>[GNMA Mtge Bonds &amp; Swap CF_generator_Mar2016.DUB.xlsm]Analysis - ignore!R30C11</stp>
        <tr r="K30" s="1124"/>
      </tp>
      <tp t="s">
        <v>ALGI 2007-1A A3</v>
        <stp/>
        <stp>##V3_BDPV12</stp>
        <stp>US001621AC52 mtge ISIN</stp>
        <stp>SECURITY DES</stp>
        <stp>[GNMA Mtge Bonds &amp; Swap CF_generator_Mar2016.DUB.xlsm]Analysis - ignore!R8C2</stp>
        <tr r="B8" s="1124"/>
      </tp>
      <tp t="s">
        <v>6/28/2023</v>
        <stp/>
        <stp>##V3_BDPV12</stp>
        <stp>US001621AC52 mtge ISIN</stp>
        <stp>Maturity</stp>
        <stp>[GNMA Mtge Bonds &amp; Swap CF_generator_Mar2016.DUB.xlsm]Analysis - ignore!R8C13</stp>
        <tr r="M8" s="1124"/>
      </tp>
      <tp t="s">
        <v>6/27/2016</v>
        <stp/>
        <stp>##V3_BDPV12</stp>
        <stp>US17284LAA26 mtge</stp>
        <stp xml:space="preserve">MTG_NXT_PAY_DT_SET_DT </stp>
        <stp>[GNMA Mtge Bonds &amp; Swap CF_generator_Mar2016.DUB.xlsm]Analysis - ignore!R35C11</stp>
        <tr r="K35" s="1124"/>
      </tp>
      <tp t="s">
        <v>6/27/2016</v>
        <stp/>
        <stp>##V3_BDPV12</stp>
        <stp>US462592AC02 mtge</stp>
        <stp xml:space="preserve">MTG_NXT_PAY_DT_SET_DT </stp>
        <stp>[GNMA Mtge Bonds &amp; Swap CF_generator_Mar2016.DUB.xlsm]Analysis - ignore!R71C11</stp>
        <tr r="K71" s="1124"/>
      </tp>
      <tp t="s">
        <v>6/22/2016</v>
        <stp/>
        <stp>##V3_BDPV12</stp>
        <stp>US64031QCD16 mtge</stp>
        <stp xml:space="preserve">MTG_NXT_PAY_DT_SET_DT </stp>
        <stp>[GNMA Mtge Bonds &amp; Swap CF_generator_Mar2016.DUB.xlsm]Analysis - ignore!R85C11</stp>
        <tr r="K85" s="1124"/>
      </tp>
      <tp t="s">
        <v>6/27/2016</v>
        <stp/>
        <stp>##V3_BDPV12</stp>
        <stp>US462592AB29 mtge</stp>
        <stp xml:space="preserve">MTG_NXT_PAY_DT_SET_DT </stp>
        <stp>[GNMA Mtge Bonds &amp; Swap CF_generator_Mar2016.DUB.xlsm]Analysis - ignore!R70C11</stp>
        <tr r="K70" s="1124"/>
      </tp>
      <tp t="s">
        <v>8/23/2016</v>
        <stp/>
        <stp>##V3_BDPV12</stp>
        <stp>US64031QCS84 mtge</stp>
        <stp xml:space="preserve">MTG_NXT_PAY_DT_SET_DT </stp>
        <stp>[GNMA Mtge Bonds &amp; Swap CF_generator_Mar2016.DUB.xlsm]Analysis - ignore!R86C11</stp>
        <tr r="K86" s="1124"/>
      </tp>
      <tp t="s">
        <v>ACCSS 2005-1 A3</v>
        <stp/>
        <stp>##V3_BDPV12</stp>
        <stp>US00432CCF68 mtge ISIN</stp>
        <stp>SECURITY DES</stp>
        <stp>[GNMA Mtge Bonds &amp; Swap CF_generator_Mar2016.DUB.xlsm]Analysis - ignore!R9C2</stp>
        <tr r="B9" s="1124"/>
      </tp>
      <tp t="s">
        <v>#N/A N/A</v>
        <stp/>
        <stp>##V3_BDPV12</stp>
        <stp>XS0187454706 mtge</stp>
        <stp>MTG WAL</stp>
        <stp>[GNMA Mtge Bonds &amp; Swap CF_generator_Mar2016.DUB.xlsm]Analysis - ignore!R193C10</stp>
        <stp xml:space="preserve">ALLOW_DYNAMIC_CASHFLOW_CALCS </stp>
        <stp>Y</stp>
        <stp>MTG PREPAY SPEED</stp>
        <stp>25</stp>
        <stp>MTG PREPAY TYP</stp>
        <stp>PPC</stp>
        <tr r="J193" s="1124"/>
      </tp>
      <tp>
        <v>0.40937000000000001</v>
        <stp/>
        <stp>##V3_BDPV12</stp>
        <stp>US280907BW52 mtge ISIN</stp>
        <stp>MTG FACTOR</stp>
        <stp>[GNMA Mtge Bonds &amp; Swap CF_generator_Mar2016.DUB.xlsm]Analysis - ignore!R51C17</stp>
        <tr r="Q51" s="1124"/>
      </tp>
      <tp t="s">
        <v>7/25/2016</v>
        <stp/>
        <stp>##V3_BDPV12</stp>
        <stp>US64031QBK67 mtge</stp>
        <stp xml:space="preserve">MTG_NXT_PAY_DT_SET_DT </stp>
        <stp>[GNMA Mtge Bonds &amp; Swap CF_generator_Mar2016.DUB.xlsm]Analysis - ignore!R82C11</stp>
        <tr r="K82" s="1124"/>
      </tp>
      <tp t="s">
        <v>7/25/2016</v>
        <stp/>
        <stp>##V3_BDPV12</stp>
        <stp>US64031QBJ94 mtge</stp>
        <stp xml:space="preserve">MTG_NXT_PAY_DT_SET_DT </stp>
        <stp>[GNMA Mtge Bonds &amp; Swap CF_generator_Mar2016.DUB.xlsm]Analysis - ignore!R81C11</stp>
        <tr r="K81" s="1124"/>
      </tp>
      <tp t="s">
        <v>6/27/2016</v>
        <stp/>
        <stp>##V3_BDPV12</stp>
        <stp>US49327HAA32 mtge</stp>
        <stp xml:space="preserve">MTG_NXT_PAY_DT_SET_DT </stp>
        <stp>[GNMA Mtge Bonds &amp; Swap CF_generator_Mar2016.DUB.xlsm]Analysis - ignore!R73C11</stp>
        <tr r="K73" s="1124"/>
      </tp>
      <tp t="s">
        <v>6/27/2016</v>
        <stp/>
        <stp>##V3_BDPV12</stp>
        <stp>US49327HAB15 mtge</stp>
        <stp xml:space="preserve">MTG_NXT_PAY_DT_SET_DT </stp>
        <stp>[GNMA Mtge Bonds &amp; Swap CF_generator_Mar2016.DUB.xlsm]Analysis - ignore!R74C11</stp>
        <tr r="K74" s="1124"/>
      </tp>
      <tp t="s">
        <v>6/22/2016</v>
        <stp/>
        <stp>##V3_BDPV12</stp>
        <stp>US64031QBX88 mtge</stp>
        <stp xml:space="preserve">MTG_NXT_PAY_DT_SET_DT </stp>
        <stp>[GNMA Mtge Bonds &amp; Swap CF_generator_Mar2016.DUB.xlsm]Analysis - ignore!R84C11</stp>
        <tr r="K84" s="1124"/>
      </tp>
      <tp t="s">
        <v>6/27/2016</v>
        <stp/>
        <stp>##V3_BDPV12</stp>
        <stp>US280907BW52 mtge</stp>
        <stp xml:space="preserve">MTG_NXT_PAY_DT_SET_DT </stp>
        <stp>[GNMA Mtge Bonds &amp; Swap CF_generator_Mar2016.DUB.xlsm]Analysis - ignore!R51C11</stp>
        <tr r="K51" s="1124"/>
      </tp>
      <tp t="s">
        <v>7/25/2016</v>
        <stp/>
        <stp>##V3_BDPV12</stp>
        <stp>US64031QBR11 mtge</stp>
        <stp xml:space="preserve">MTG_NXT_PAY_DT_SET_DT </stp>
        <stp>[GNMA Mtge Bonds &amp; Swap CF_generator_Mar2016.DUB.xlsm]Analysis - ignore!R83C11</stp>
        <tr r="K83" s="1124"/>
      </tp>
      <tp>
        <v>4.59</v>
        <stp/>
        <stp>##V3_BDPV12</stp>
        <stp>US64032EAC12 mtge</stp>
        <stp>MTG WAL</stp>
        <stp>[GNMA Mtge Bonds &amp; Swap CF_generator_Mar2016.DUB.xlsm]Analysis - ignore!R89C10</stp>
        <stp xml:space="preserve">ALLOW_DYNAMIC_CASHFLOW_CALCS </stp>
        <stp>Y</stp>
        <stp>MTG PREPAY SPEED</stp>
        <stp>50</stp>
        <stp>MTG PREPAY TYP</stp>
        <stp>PPC</stp>
        <tr r="J89" s="1124"/>
      </tp>
      <tp t="s">
        <v>#N/A N/A</v>
        <stp/>
        <stp>##V3_BDPV12</stp>
        <stp>XS0254562209 mtge</stp>
        <stp>MTG WAL</stp>
        <stp>[GNMA Mtge Bonds &amp; Swap CF_generator_Mar2016.DUB.xlsm]Analysis - ignore!R196C10</stp>
        <stp xml:space="preserve">ALLOW_DYNAMIC_CASHFLOW_CALCS </stp>
        <stp>Y</stp>
        <stp>MTG PREPAY SPEED</stp>
        <stp>50</stp>
        <stp>MTG PREPAY TYP</stp>
        <stp>PPC</stp>
        <tr r="J196" s="1124"/>
      </tp>
      <tp>
        <v>1</v>
        <stp/>
        <stp>##V3_BDPV12</stp>
        <stp>US36156HAX61 mtge ISIN</stp>
        <stp>MTG FACTOR</stp>
        <stp>[GNMA Mtge Bonds &amp; Swap CF_generator_Mar2016.DUB.xlsm]Analysis - ignore!R56C17</stp>
        <tr r="Q56" s="1124"/>
      </tp>
      <tp t="s">
        <v>6/28/2019</v>
        <stp/>
        <stp>##V3_BDPV12</stp>
        <stp>US001621AB79 mtge ISIN</stp>
        <stp>Maturity</stp>
        <stp>[GNMA Mtge Bonds &amp; Swap CF_generator_Mar2016.DUB.xlsm]Analysis - ignore!R7C13</stp>
        <tr r="M7" s="1124"/>
      </tp>
      <tp t="s">
        <v>8/25/2016</v>
        <stp/>
        <stp>##V3_BDPV12</stp>
        <stp>US340640AE18 mtge</stp>
        <stp xml:space="preserve">MTG_NXT_PAY_DT_SET_DT </stp>
        <stp>[GNMA Mtge Bonds &amp; Swap CF_generator_Mar2016.DUB.xlsm]Analysis - ignore!R52C11</stp>
        <tr r="K52" s="1124"/>
      </tp>
      <tp t="s">
        <v>8/25/2016</v>
        <stp/>
        <stp>##V3_BDPV12</stp>
        <stp>US38021AAB89 mtge</stp>
        <stp xml:space="preserve">MTG_NXT_PAY_DT_SET_DT </stp>
        <stp>[GNMA Mtge Bonds &amp; Swap CF_generator_Mar2016.DUB.xlsm]Analysis - ignore!R62C11</stp>
        <tr r="K62" s="1124"/>
      </tp>
      <tp t="s">
        <v>8/25/2016</v>
        <stp/>
        <stp>##V3_BDPV12</stp>
        <stp>US64032EAC12 mtge</stp>
        <stp xml:space="preserve">MTG_NXT_PAY_DT_SET_DT </stp>
        <stp>[GNMA Mtge Bonds &amp; Swap CF_generator_Mar2016.DUB.xlsm]Analysis - ignore!R89C11</stp>
        <tr r="K89" s="1124"/>
      </tp>
      <tp t="s">
        <v>8/25/2016</v>
        <stp/>
        <stp>##V3_BDPV12</stp>
        <stp>US64032GAC69 mtge</stp>
        <stp xml:space="preserve">MTG_NXT_PAY_DT_SET_DT </stp>
        <stp>[GNMA Mtge Bonds &amp; Swap CF_generator_Mar2016.DUB.xlsm]Analysis - ignore!R93C11</stp>
        <tr r="K93" s="1124"/>
      </tp>
      <tp t="s">
        <v>6/27/2016</v>
        <stp/>
        <stp>##V3_BDPV12</stp>
        <stp>US38021DAB29 mtge</stp>
        <stp xml:space="preserve">MTG_NXT_PAY_DT_SET_DT </stp>
        <stp>[GNMA Mtge Bonds &amp; Swap CF_generator_Mar2016.DUB.xlsm]Analysis - ignore!R67C11</stp>
        <tr r="K67" s="1124"/>
      </tp>
      <tp t="s">
        <v>7/25/2016</v>
        <stp/>
        <stp>##V3_BDPV12</stp>
        <stp>US640315AC17 mtge</stp>
        <stp xml:space="preserve">MTG_NXT_PAY_DT_SET_DT </stp>
        <stp>[GNMA Mtge Bonds &amp; Swap CF_generator_Mar2016.DUB.xlsm]Analysis - ignore!R77C11</stp>
        <tr r="K77" s="1124"/>
      </tp>
      <tp t="s">
        <v>8/25/2016</v>
        <stp/>
        <stp>##V3_BDPV12</stp>
        <stp>US38021BAB62 mtge</stp>
        <stp xml:space="preserve">MTG_NXT_PAY_DT_SET_DT </stp>
        <stp>[GNMA Mtge Bonds &amp; Swap CF_generator_Mar2016.DUB.xlsm]Analysis - ignore!R65C11</stp>
        <tr r="K65" s="1124"/>
      </tp>
      <tp t="s">
        <v>8/25/2016</v>
        <stp/>
        <stp>##V3_BDPV12</stp>
        <stp>US64032EAB39 mtge</stp>
        <stp xml:space="preserve">MTG_NXT_PAY_DT_SET_DT </stp>
        <stp>[GNMA Mtge Bonds &amp; Swap CF_generator_Mar2016.DUB.xlsm]Analysis - ignore!R88C11</stp>
        <tr r="K88" s="1124"/>
      </tp>
      <tp t="s">
        <v>6/27/2016</v>
        <stp/>
        <stp>##V3_BDPV12</stp>
        <stp>US38021DAC02 mtge</stp>
        <stp xml:space="preserve">MTG_NXT_PAY_DT_SET_DT </stp>
        <stp>[GNMA Mtge Bonds &amp; Swap CF_generator_Mar2016.DUB.xlsm]Analysis - ignore!R68C11</stp>
        <tr r="K68" s="1124"/>
      </tp>
      <tp t="s">
        <v>8/25/2016</v>
        <stp/>
        <stp>##V3_BDPV12</stp>
        <stp>US64032GAB86 mtge</stp>
        <stp xml:space="preserve">MTG_NXT_PAY_DT_SET_DT </stp>
        <stp>[GNMA Mtge Bonds &amp; Swap CF_generator_Mar2016.DUB.xlsm]Analysis - ignore!R92C11</stp>
        <tr r="K92" s="1124"/>
      </tp>
      <tp t="s">
        <v>8/25/2016</v>
        <stp/>
        <stp>##V3_BDPV12</stp>
        <stp>US38021AAC62 mtge</stp>
        <stp xml:space="preserve">MTG_NXT_PAY_DT_SET_DT </stp>
        <stp>[GNMA Mtge Bonds &amp; Swap CF_generator_Mar2016.DUB.xlsm]Analysis - ignore!R63C11</stp>
        <tr r="K63" s="1124"/>
      </tp>
      <tp t="s">
        <v>6/27/2016</v>
        <stp/>
        <stp>##V3_BDPV12</stp>
        <stp>US38021DAD84 mtge</stp>
        <stp xml:space="preserve">MTG_NXT_PAY_DT_SET_DT </stp>
        <stp>[GNMA Mtge Bonds &amp; Swap CF_generator_Mar2016.DUB.xlsm]Analysis - ignore!R69C11</stp>
        <tr r="K69" s="1124"/>
      </tp>
      <tp t="s">
        <v>6/27/2016</v>
        <stp/>
        <stp>##V3_BDPV12</stp>
        <stp>US64031AAE64 mtge</stp>
        <stp xml:space="preserve">MTG_NXT_PAY_DT_SET_DT </stp>
        <stp>[GNMA Mtge Bonds &amp; Swap CF_generator_Mar2016.DUB.xlsm]Analysis - ignore!R80C11</stp>
        <tr r="K80" s="1124"/>
      </tp>
      <tp t="s">
        <v>8/25/2016</v>
        <stp/>
        <stp>##V3_BDPV12</stp>
        <stp>US38021BAD29 mtge</stp>
        <stp xml:space="preserve">MTG_NXT_PAY_DT_SET_DT </stp>
        <stp>[GNMA Mtge Bonds &amp; Swap CF_generator_Mar2016.DUB.xlsm]Analysis - ignore!R66C11</stp>
        <tr r="K66" s="1124"/>
      </tp>
      <tp t="s">
        <v>7/25/2016</v>
        <stp/>
        <stp>##V3_BDPV12</stp>
        <stp>US640315AE72 mtge</stp>
        <stp xml:space="preserve">MTG_NXT_PAY_DT_SET_DT </stp>
        <stp>[GNMA Mtge Bonds &amp; Swap CF_generator_Mar2016.DUB.xlsm]Analysis - ignore!R78C11</stp>
        <tr r="K78" s="1124"/>
      </tp>
      <tp t="s">
        <v>8/25/2016</v>
        <stp/>
        <stp>##V3_BDPV12</stp>
        <stp>US38021AAD46 mtge</stp>
        <stp xml:space="preserve">MTG_NXT_PAY_DT_SET_DT </stp>
        <stp>[GNMA Mtge Bonds &amp; Swap CF_generator_Mar2016.DUB.xlsm]Analysis - ignore!R64C11</stp>
        <tr r="K64" s="1124"/>
      </tp>
      <tp t="s">
        <v>8/25/2016</v>
        <stp/>
        <stp>##V3_BDPV12</stp>
        <stp>US64032LAD38 mtge</stp>
        <stp xml:space="preserve">MTG_NXT_PAY_DT_SET_DT </stp>
        <stp>[GNMA Mtge Bonds &amp; Swap CF_generator_Mar2016.DUB.xlsm]Analysis - ignore!R95C11</stp>
        <tr r="K95" s="1124"/>
      </tp>
      <tp t="s">
        <v>6/27/2016</v>
        <stp/>
        <stp>##V3_BDPV12</stp>
        <stp>US64031AAD81 mtge</stp>
        <stp xml:space="preserve">MTG_NXT_PAY_DT_SET_DT </stp>
        <stp>[GNMA Mtge Bonds &amp; Swap CF_generator_Mar2016.DUB.xlsm]Analysis - ignore!R79C11</stp>
        <tr r="K79" s="1124"/>
      </tp>
      <tp t="s">
        <v>8/25/2016</v>
        <stp/>
        <stp>##V3_BDPV12</stp>
        <stp>US64032EAD94 mtge</stp>
        <stp xml:space="preserve">MTG_NXT_PAY_DT_SET_DT </stp>
        <stp>[GNMA Mtge Bonds &amp; Swap CF_generator_Mar2016.DUB.xlsm]Analysis - ignore!R90C11</stp>
        <tr r="K90" s="1124"/>
      </tp>
      <tp t="s">
        <v>7/25/2016</v>
        <stp/>
        <stp>##V3_BDPV12</stp>
        <stp>US64032JAD81 mtge</stp>
        <stp xml:space="preserve">MTG_NXT_PAY_DT_SET_DT </stp>
        <stp>[GNMA Mtge Bonds &amp; Swap CF_generator_Mar2016.DUB.xlsm]Analysis - ignore!R94C11</stp>
        <tr r="K94" s="1124"/>
      </tp>
      <tp t="s">
        <v>6/27/2016</v>
        <stp/>
        <stp>##V3_BDPV12</stp>
        <stp>US64032FAG90 mtge</stp>
        <stp xml:space="preserve">MTG_NXT_PAY_DT_SET_DT </stp>
        <stp>[GNMA Mtge Bonds &amp; Swap CF_generator_Mar2016.DUB.xlsm]Analysis - ignore!R91C11</stp>
        <tr r="K91" s="1124"/>
      </tp>
      <tp t="s">
        <v>8/25/2016</v>
        <stp/>
        <stp>##V3_BDPV12</stp>
        <stp>US64031RAS85 mtge</stp>
        <stp xml:space="preserve">MTG_NXT_PAY_DT_SET_DT </stp>
        <stp>[GNMA Mtge Bonds &amp; Swap CF_generator_Mar2016.DUB.xlsm]Analysis - ignore!R87C11</stp>
        <tr r="K87" s="1124"/>
      </tp>
      <tp>
        <v>1.25</v>
        <stp/>
        <stp>##V3_BDPV12</stp>
        <stp>US64032EAB39 mtge</stp>
        <stp>MTG WAL</stp>
        <stp>[GNMA Mtge Bonds &amp; Swap CF_generator_Mar2016.DUB.xlsm]Analysis - ignore!R88C10</stp>
        <stp xml:space="preserve">ALLOW_DYNAMIC_CASHFLOW_CALCS </stp>
        <stp>Y</stp>
        <stp>MTG PREPAY SPEED</stp>
        <stp>50</stp>
        <stp>MTG PREPAY TYP</stp>
        <stp>PPC</stp>
        <tr r="J88" s="1124"/>
      </tp>
      <tp t="s">
        <v>#N/A N/A</v>
        <stp/>
        <stp>##V3_BDPV12</stp>
        <stp>US640315AE72 mtge</stp>
        <stp>MTG WAL</stp>
        <stp>[GNMA Mtge Bonds &amp; Swap CF_generator_Mar2016.DUB.xlsm]Analysis - ignore!R78C10</stp>
        <stp xml:space="preserve">ALLOW_DYNAMIC_CASHFLOW_CALCS </stp>
        <stp>Y</stp>
        <stp>MTG PREPAY SPEED</stp>
        <stp>50</stp>
        <stp>MTG PREPAY TYP</stp>
        <stp>PPC</stp>
        <tr r="J78" s="1124"/>
      </tp>
      <tp t="s">
        <v>#N/A N/A</v>
        <stp/>
        <stp>##V3_BDPV12</stp>
        <stp>US36156YAN13 mtge</stp>
        <stp>MTG WAL</stp>
        <stp>[GNMA Mtge Bonds &amp; Swap CF_generator_Mar2016.DUB.xlsm]Analysis - ignore!R59C10</stp>
        <stp xml:space="preserve">ALLOW_DYNAMIC_CASHFLOW_CALCS </stp>
        <stp>Y</stp>
        <stp>MTG PREPAY SPEED</stp>
        <stp>50</stp>
        <stp>MTG PREPAY TYP</stp>
        <stp>PPS</stp>
        <tr r="J59" s="1124"/>
      </tp>
      <tp t="s">
        <v>6/22/2022</v>
        <stp/>
        <stp>##V3_BDPV12</stp>
        <stp>US00432CCF68 mtge ISIN</stp>
        <stp>Maturity</stp>
        <stp>[GNMA Mtge Bonds &amp; Swap CF_generator_Mar2016.DUB.xlsm]Analysis - ignore!R9C13</stp>
        <tr r="M9" s="1124"/>
      </tp>
      <tp t="s">
        <v>8/25/2016</v>
        <stp/>
        <stp>##V3_BDPV12</stp>
        <stp>US36156YAN13 mtge</stp>
        <stp xml:space="preserve">MTG_NXT_PAY_DT_SET_DT </stp>
        <stp>[GNMA Mtge Bonds &amp; Swap CF_generator_Mar2016.DUB.xlsm]Analysis - ignore!R59C11</stp>
        <tr r="K59" s="1124"/>
      </tp>
      <tp t="s">
        <v>7/25/2016</v>
        <stp/>
        <stp>##V3_BDPV12</stp>
        <stp>US00432CDN83 mtge</stp>
        <stp xml:space="preserve">MTG_NXT_PAY_DT_SET_DT </stp>
        <stp>[GNMA Mtge Bonds &amp; Swap CF_generator_Mar2016.DUB.xlsm]Analysis - ignore!R15C11</stp>
        <tr r="K15" s="1124"/>
      </tp>
      <tp t="s">
        <v>8/25/2016</v>
        <stp/>
        <stp>##V3_BDPV12</stp>
        <stp>US00432CDC29 mtge</stp>
        <stp xml:space="preserve">MTG_NXT_PAY_DT_SET_DT </stp>
        <stp>[GNMA Mtge Bonds &amp; Swap CF_generator_Mar2016.DUB.xlsm]Analysis - ignore!R14C11</stp>
        <tr r="K14" s="1124"/>
      </tp>
      <tp t="s">
        <v>6/28/2016</v>
        <stp/>
        <stp>##V3_BDPV12</stp>
        <stp>US16151UAD81 mtge</stp>
        <stp xml:space="preserve">MTG_NXT_PAY_DT_SET_DT </stp>
        <stp>[GNMA Mtge Bonds &amp; Swap CF_generator_Mar2016.DUB.xlsm]Analysis - ignore!R34C11</stp>
        <tr r="K34" s="1124"/>
      </tp>
      <tp t="s">
        <v>8/25/2016</v>
        <stp/>
        <stp>##V3_BDPV12</stp>
        <stp>US00432CDB46 mtge</stp>
        <stp xml:space="preserve">MTG_NXT_PAY_DT_SET_DT </stp>
        <stp>[GNMA Mtge Bonds &amp; Swap CF_generator_Mar2016.DUB.xlsm]Analysis - ignore!R13C11</stp>
        <tr r="K13" s="1124"/>
      </tp>
      <tp t="s">
        <v>8/25/2016</v>
        <stp/>
        <stp>##V3_BDPV12</stp>
        <stp>US36156YAD31 mtge</stp>
        <stp xml:space="preserve">MTG_NXT_PAY_DT_SET_DT </stp>
        <stp>[GNMA Mtge Bonds &amp; Swap CF_generator_Mar2016.DUB.xlsm]Analysis - ignore!R58C11</stp>
        <tr r="K58" s="1124"/>
      </tp>
      <tp t="s">
        <v>8/25/2016</v>
        <stp/>
        <stp>##V3_BDPV12</stp>
        <stp>US36156YAC57 mtge</stp>
        <stp xml:space="preserve">MTG_NXT_PAY_DT_SET_DT </stp>
        <stp>[GNMA Mtge Bonds &amp; Swap CF_generator_Mar2016.DUB.xlsm]Analysis - ignore!R57C11</stp>
        <tr r="K57" s="1124"/>
      </tp>
      <tp t="s">
        <v>6/27/2016</v>
        <stp/>
        <stp>##V3_BDPV12</stp>
        <stp>US493268CD64 mtge</stp>
        <stp xml:space="preserve">MTG_NXT_PAY_DT_SET_DT </stp>
        <stp>[GNMA Mtge Bonds &amp; Swap CF_generator_Mar2016.DUB.xlsm]Analysis - ignore!R72C11</stp>
        <tr r="K72" s="1124"/>
      </tp>
      <tp t="s">
        <v>6/28/2016</v>
        <stp/>
        <stp>##V3_BDPV12</stp>
        <stp>US16151UAC09 mtge</stp>
        <stp xml:space="preserve">MTG_NXT_PAY_DT_SET_DT </stp>
        <stp>[GNMA Mtge Bonds &amp; Swap CF_generator_Mar2016.DUB.xlsm]Analysis - ignore!R33C11</stp>
        <tr r="K33" s="1124"/>
      </tp>
      <tp t="s">
        <v>6/28/2016</v>
        <stp/>
        <stp>##V3_BDPV12</stp>
        <stp>US16151UAB26 mtge</stp>
        <stp xml:space="preserve">MTG_NXT_PAY_DT_SET_DT </stp>
        <stp>[GNMA Mtge Bonds &amp; Swap CF_generator_Mar2016.DUB.xlsm]Analysis - ignore!R32C11</stp>
        <tr r="K32" s="1124"/>
      </tp>
      <tp t="s">
        <v>8/25/2016</v>
        <stp/>
        <stp>##V3_BDPV12</stp>
        <stp>US36156HAX61 mtge</stp>
        <stp xml:space="preserve">MTG_NXT_PAY_DT_SET_DT </stp>
        <stp>[GNMA Mtge Bonds &amp; Swap CF_generator_Mar2016.DUB.xlsm]Analysis - ignore!R56C11</stp>
        <tr r="K56" s="1124"/>
      </tp>
      <tp t="s">
        <v>8/25/2016</v>
        <stp/>
        <stp>##V3_BDPV12</stp>
        <stp>US36156HAW88 mtge</stp>
        <stp xml:space="preserve">MTG_NXT_PAY_DT_SET_DT </stp>
        <stp>[GNMA Mtge Bonds &amp; Swap CF_generator_Mar2016.DUB.xlsm]Analysis - ignore!R55C11</stp>
        <tr r="K55" s="1124"/>
      </tp>
      <tp t="s">
        <v>7/25/2016</v>
        <stp/>
        <stp>##V3_BDPV12</stp>
        <stp>US00432CDP32 mtge</stp>
        <stp xml:space="preserve">MTG_NXT_PAY_DT_SET_DT </stp>
        <stp>[GNMA Mtge Bonds &amp; Swap CF_generator_Mar2016.DUB.xlsm]Analysis - ignore!R16C11</stp>
        <tr r="K16" s="1124"/>
      </tp>
      <tp t="s">
        <v>8/25/2016</v>
        <stp/>
        <stp>##V3_BDPV12</stp>
        <stp>US36156YAQ44 mtge</stp>
        <stp xml:space="preserve">MTG_NXT_PAY_DT_SET_DT </stp>
        <stp>[GNMA Mtge Bonds &amp; Swap CF_generator_Mar2016.DUB.xlsm]Analysis - ignore!R61C11</stp>
        <tr r="K61" s="1124"/>
      </tp>
      <tp t="s">
        <v>8/25/2016</v>
        <stp/>
        <stp>##V3_BDPV12</stp>
        <stp>US36156HAQ11 mtge</stp>
        <stp xml:space="preserve">MTG_NXT_PAY_DT_SET_DT </stp>
        <stp>[GNMA Mtge Bonds &amp; Swap CF_generator_Mar2016.DUB.xlsm]Analysis - ignore!R54C11</stp>
        <tr r="K54" s="1124"/>
      </tp>
      <tp t="s">
        <v>8/25/2016</v>
        <stp/>
        <stp>##V3_BDPV12</stp>
        <stp>US36156YAP60 mtge</stp>
        <stp xml:space="preserve">MTG_NXT_PAY_DT_SET_DT </stp>
        <stp>[GNMA Mtge Bonds &amp; Swap CF_generator_Mar2016.DUB.xlsm]Analysis - ignore!R60C11</stp>
        <tr r="K60" s="1124"/>
      </tp>
      <tp t="s">
        <v>8/25/2016</v>
        <stp/>
        <stp>##V3_BDPV12</stp>
        <stp>US36156HAP38 mtge</stp>
        <stp xml:space="preserve">MTG_NXT_PAY_DT_SET_DT </stp>
        <stp>[GNMA Mtge Bonds &amp; Swap CF_generator_Mar2016.DUB.xlsm]Analysis - ignore!R53C11</stp>
        <tr r="K53" s="112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7</xdr:row>
      <xdr:rowOff>19050</xdr:rowOff>
    </xdr:from>
    <xdr:to>
      <xdr:col>2</xdr:col>
      <xdr:colOff>571500</xdr:colOff>
      <xdr:row>10</xdr:row>
      <xdr:rowOff>19050</xdr:rowOff>
    </xdr:to>
    <xdr:sp macro="" textlink="">
      <xdr:nvSpPr>
        <xdr:cNvPr id="8402" name="AutoShape 22"/>
        <xdr:cNvSpPr>
          <a:spLocks/>
        </xdr:cNvSpPr>
      </xdr:nvSpPr>
      <xdr:spPr bwMode="auto">
        <a:xfrm>
          <a:off x="1933575" y="1162050"/>
          <a:ext cx="466725" cy="485775"/>
        </a:xfrm>
        <a:prstGeom prst="leftBrace">
          <a:avLst>
            <a:gd name="adj1" fmla="val 8673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323850</xdr:colOff>
      <xdr:row>7</xdr:row>
      <xdr:rowOff>38100</xdr:rowOff>
    </xdr:from>
    <xdr:to>
      <xdr:col>1</xdr:col>
      <xdr:colOff>542925</xdr:colOff>
      <xdr:row>10</xdr:row>
      <xdr:rowOff>38100</xdr:rowOff>
    </xdr:to>
    <xdr:sp macro="" textlink="">
      <xdr:nvSpPr>
        <xdr:cNvPr id="8403" name="AutoShape 23"/>
        <xdr:cNvSpPr>
          <a:spLocks/>
        </xdr:cNvSpPr>
      </xdr:nvSpPr>
      <xdr:spPr bwMode="auto">
        <a:xfrm>
          <a:off x="1162050" y="1181100"/>
          <a:ext cx="219075" cy="485775"/>
        </a:xfrm>
        <a:prstGeom prst="leftBrace">
          <a:avLst>
            <a:gd name="adj1" fmla="val 18478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123825</xdr:rowOff>
        </xdr:from>
        <xdr:to>
          <xdr:col>5</xdr:col>
          <xdr:colOff>57150</xdr:colOff>
          <xdr:row>3</xdr:row>
          <xdr:rowOff>57150</xdr:rowOff>
        </xdr:to>
        <xdr:sp macro="" textlink="">
          <xdr:nvSpPr>
            <xdr:cNvPr id="8204" name="CommandButton1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133350</xdr:rowOff>
        </xdr:from>
        <xdr:to>
          <xdr:col>5</xdr:col>
          <xdr:colOff>428625</xdr:colOff>
          <xdr:row>5</xdr:row>
          <xdr:rowOff>57150</xdr:rowOff>
        </xdr:to>
        <xdr:sp macro="" textlink="">
          <xdr:nvSpPr>
            <xdr:cNvPr id="8205" name="CommandButton2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114300</xdr:rowOff>
        </xdr:from>
        <xdr:to>
          <xdr:col>5</xdr:col>
          <xdr:colOff>57150</xdr:colOff>
          <xdr:row>8</xdr:row>
          <xdr:rowOff>57150</xdr:rowOff>
        </xdr:to>
        <xdr:sp macro="" textlink="">
          <xdr:nvSpPr>
            <xdr:cNvPr id="8206" name="CommandButton3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114300</xdr:rowOff>
        </xdr:from>
        <xdr:to>
          <xdr:col>5</xdr:col>
          <xdr:colOff>57150</xdr:colOff>
          <xdr:row>10</xdr:row>
          <xdr:rowOff>57150</xdr:rowOff>
        </xdr:to>
        <xdr:sp macro="" textlink="">
          <xdr:nvSpPr>
            <xdr:cNvPr id="8207" name="CommandButton4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266700</xdr:rowOff>
        </xdr:from>
        <xdr:to>
          <xdr:col>5</xdr:col>
          <xdr:colOff>57150</xdr:colOff>
          <xdr:row>15</xdr:row>
          <xdr:rowOff>76200</xdr:rowOff>
        </xdr:to>
        <xdr:sp macro="" textlink="">
          <xdr:nvSpPr>
            <xdr:cNvPr id="8208" name="CommandButton5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15</xdr:row>
          <xdr:rowOff>123825</xdr:rowOff>
        </xdr:from>
        <xdr:to>
          <xdr:col>5</xdr:col>
          <xdr:colOff>57150</xdr:colOff>
          <xdr:row>17</xdr:row>
          <xdr:rowOff>66675</xdr:rowOff>
        </xdr:to>
        <xdr:sp macro="" textlink="">
          <xdr:nvSpPr>
            <xdr:cNvPr id="8209" name="CommandButton6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133350</xdr:rowOff>
        </xdr:from>
        <xdr:to>
          <xdr:col>5</xdr:col>
          <xdr:colOff>57150</xdr:colOff>
          <xdr:row>18</xdr:row>
          <xdr:rowOff>257175</xdr:rowOff>
        </xdr:to>
        <xdr:sp macro="" textlink="">
          <xdr:nvSpPr>
            <xdr:cNvPr id="8210" name="CommandButton7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11</xdr:row>
          <xdr:rowOff>28575</xdr:rowOff>
        </xdr:from>
        <xdr:to>
          <xdr:col>4</xdr:col>
          <xdr:colOff>600075</xdr:colOff>
          <xdr:row>13</xdr:row>
          <xdr:rowOff>66675</xdr:rowOff>
        </xdr:to>
        <xdr:sp macro="" textlink="">
          <xdr:nvSpPr>
            <xdr:cNvPr id="8211" name="CommandButton8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13</xdr:row>
          <xdr:rowOff>266700</xdr:rowOff>
        </xdr:from>
        <xdr:to>
          <xdr:col>2</xdr:col>
          <xdr:colOff>66675</xdr:colOff>
          <xdr:row>15</xdr:row>
          <xdr:rowOff>76200</xdr:rowOff>
        </xdr:to>
        <xdr:sp macro="" textlink="">
          <xdr:nvSpPr>
            <xdr:cNvPr id="8213" name="CommandButton9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476249</xdr:colOff>
      <xdr:row>2</xdr:row>
      <xdr:rowOff>38100</xdr:rowOff>
    </xdr:from>
    <xdr:to>
      <xdr:col>5</xdr:col>
      <xdr:colOff>923924</xdr:colOff>
      <xdr:row>18</xdr:row>
      <xdr:rowOff>38100</xdr:rowOff>
    </xdr:to>
    <xdr:sp macro="" textlink="">
      <xdr:nvSpPr>
        <xdr:cNvPr id="2" name="Down Arrow 1"/>
        <xdr:cNvSpPr/>
      </xdr:nvSpPr>
      <xdr:spPr>
        <a:xfrm>
          <a:off x="5010149" y="371475"/>
          <a:ext cx="447675" cy="2724150"/>
        </a:xfrm>
        <a:prstGeom prst="downArrow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blp\DAPI\DDE\Blp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l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ummary" enableFormatConditionsCalculation="0">
    <tabColor indexed="11"/>
  </sheetPr>
  <dimension ref="A1:N60"/>
  <sheetViews>
    <sheetView showGridLines="0" tabSelected="1" zoomScale="115" zoomScaleNormal="115" workbookViewId="0">
      <selection activeCell="G3" sqref="G3"/>
    </sheetView>
  </sheetViews>
  <sheetFormatPr defaultRowHeight="12.75"/>
  <cols>
    <col min="1" max="1" width="12.5703125" style="57" customWidth="1"/>
    <col min="2" max="2" width="14.85546875" style="57" bestFit="1" customWidth="1"/>
    <col min="3" max="3" width="15" style="57" customWidth="1"/>
    <col min="4" max="4" width="14.85546875" style="109" bestFit="1" customWidth="1"/>
    <col min="5" max="5" width="10.7109375" style="57" bestFit="1" customWidth="1"/>
    <col min="6" max="6" width="15.42578125" style="57" bestFit="1" customWidth="1"/>
    <col min="7" max="7" width="12.5703125" customWidth="1"/>
    <col min="8" max="8" width="64.42578125" bestFit="1" customWidth="1"/>
    <col min="10" max="10" width="9.5703125" bestFit="1" customWidth="1"/>
    <col min="11" max="12" width="14.85546875" bestFit="1" customWidth="1"/>
    <col min="13" max="13" width="10.7109375" bestFit="1" customWidth="1"/>
    <col min="14" max="14" width="15.42578125" bestFit="1" customWidth="1"/>
  </cols>
  <sheetData>
    <row r="1" spans="1:8">
      <c r="A1" s="92" t="s">
        <v>65</v>
      </c>
      <c r="B1" s="106">
        <f ca="1">TODAY()</f>
        <v>42516</v>
      </c>
      <c r="H1" s="111" t="s">
        <v>323</v>
      </c>
    </row>
    <row r="2" spans="1:8" ht="13.5" thickBot="1">
      <c r="A2" s="107" t="s">
        <v>66</v>
      </c>
      <c r="B2" s="157" t="str">
        <f ca="1">TEXT(B1,"YYYYMMDD")</f>
        <v>20160526</v>
      </c>
      <c r="H2" s="112" t="s">
        <v>73</v>
      </c>
    </row>
    <row r="3" spans="1:8">
      <c r="C3" s="57">
        <v>1</v>
      </c>
      <c r="G3" s="108"/>
      <c r="H3" s="156" t="s">
        <v>322</v>
      </c>
    </row>
    <row r="5" spans="1:8">
      <c r="C5" s="57">
        <v>2</v>
      </c>
      <c r="G5" s="108"/>
      <c r="H5" t="s">
        <v>68</v>
      </c>
    </row>
    <row r="7" spans="1:8">
      <c r="G7" s="85"/>
    </row>
    <row r="8" spans="1:8">
      <c r="C8" s="57" t="s">
        <v>74</v>
      </c>
      <c r="G8" s="108"/>
      <c r="H8" t="s">
        <v>69</v>
      </c>
    </row>
    <row r="9" spans="1:8">
      <c r="A9" s="57" t="s">
        <v>76</v>
      </c>
      <c r="G9" s="85"/>
    </row>
    <row r="10" spans="1:8">
      <c r="C10" s="57" t="s">
        <v>75</v>
      </c>
      <c r="G10" s="108"/>
      <c r="H10" t="s">
        <v>70</v>
      </c>
    </row>
    <row r="11" spans="1:8">
      <c r="G11" s="85"/>
    </row>
    <row r="13" spans="1:8">
      <c r="C13" s="57">
        <v>4</v>
      </c>
      <c r="G13" s="108"/>
    </row>
    <row r="14" spans="1:8" ht="23.25" customHeight="1"/>
    <row r="15" spans="1:8">
      <c r="G15" s="108"/>
      <c r="H15" s="156" t="s">
        <v>318</v>
      </c>
    </row>
    <row r="16" spans="1:8">
      <c r="G16" s="108"/>
    </row>
    <row r="17" spans="1:8">
      <c r="C17" s="57">
        <v>6</v>
      </c>
      <c r="G17" s="108"/>
      <c r="H17" t="s">
        <v>71</v>
      </c>
    </row>
    <row r="19" spans="1:8" ht="22.5" customHeight="1" thickBot="1">
      <c r="C19" s="57">
        <v>7</v>
      </c>
      <c r="H19" s="156" t="s">
        <v>319</v>
      </c>
    </row>
    <row r="20" spans="1:8" s="94" customFormat="1">
      <c r="A20" s="92"/>
      <c r="B20" s="93"/>
      <c r="C20" s="93"/>
      <c r="D20" s="93"/>
      <c r="E20" s="93"/>
      <c r="F20" s="93"/>
    </row>
    <row r="21" spans="1:8" s="96" customFormat="1" ht="13.5" thickBot="1">
      <c r="A21" s="110"/>
      <c r="B21" s="174" t="s">
        <v>316</v>
      </c>
      <c r="C21" s="95"/>
      <c r="D21" s="95"/>
      <c r="E21" s="95"/>
      <c r="F21" s="95"/>
    </row>
    <row r="23" spans="1:8">
      <c r="A23" s="97" t="s">
        <v>56</v>
      </c>
    </row>
    <row r="24" spans="1:8">
      <c r="A24" s="113" t="s">
        <v>327</v>
      </c>
      <c r="H24" t="s">
        <v>72</v>
      </c>
    </row>
    <row r="26" spans="1:8">
      <c r="A26" s="97" t="s">
        <v>57</v>
      </c>
    </row>
    <row r="27" spans="1:8">
      <c r="A27" s="98" t="str">
        <f ca="1">TEXT(B1,"mm.dd.yyyy")</f>
        <v>05.26.2016</v>
      </c>
      <c r="H27" s="156" t="s">
        <v>317</v>
      </c>
    </row>
    <row r="29" spans="1:8">
      <c r="A29" s="97"/>
    </row>
    <row r="31" spans="1:8" ht="13.5" thickBot="1"/>
    <row r="32" spans="1:8" s="94" customFormat="1">
      <c r="A32" s="92"/>
      <c r="B32" s="93"/>
      <c r="C32" s="93"/>
      <c r="D32" s="93"/>
      <c r="E32" s="93"/>
      <c r="F32" s="93"/>
    </row>
    <row r="33" spans="1:14" s="96" customFormat="1" ht="13.5" thickBot="1">
      <c r="A33" s="110"/>
      <c r="B33" s="174" t="s">
        <v>299</v>
      </c>
      <c r="C33" s="95"/>
      <c r="D33" s="95"/>
      <c r="E33" s="95"/>
      <c r="F33" s="95"/>
    </row>
    <row r="36" spans="1:14">
      <c r="B36" s="172" t="s">
        <v>311</v>
      </c>
      <c r="J36" s="171" t="s">
        <v>315</v>
      </c>
    </row>
    <row r="37" spans="1:14" ht="13.5" thickBot="1">
      <c r="B37" s="172" t="s">
        <v>312</v>
      </c>
    </row>
    <row r="38" spans="1:14" ht="15">
      <c r="B38" s="125" t="s">
        <v>293</v>
      </c>
      <c r="C38" s="126" t="s">
        <v>300</v>
      </c>
      <c r="D38" s="158" t="s">
        <v>310</v>
      </c>
      <c r="J38" s="165" t="s">
        <v>300</v>
      </c>
      <c r="K38" s="166" t="s">
        <v>293</v>
      </c>
      <c r="L38" s="166" t="s">
        <v>301</v>
      </c>
      <c r="M38" s="166" t="s">
        <v>302</v>
      </c>
      <c r="N38" s="158" t="s">
        <v>310</v>
      </c>
    </row>
    <row r="39" spans="1:14">
      <c r="B39" s="150" t="s">
        <v>50</v>
      </c>
      <c r="C39" s="159" t="s">
        <v>295</v>
      </c>
      <c r="D39" s="160">
        <v>30</v>
      </c>
      <c r="J39" s="150" t="s">
        <v>295</v>
      </c>
      <c r="K39" s="136" t="s">
        <v>50</v>
      </c>
      <c r="L39" s="136" t="s">
        <v>50</v>
      </c>
      <c r="M39" s="136" t="s">
        <v>303</v>
      </c>
      <c r="N39" s="167">
        <f>VLOOKUP(L39,'ISINS_&amp;_SWAPS'!$F$8:$V$25,16,0)</f>
        <v>30</v>
      </c>
    </row>
    <row r="40" spans="1:14">
      <c r="B40" s="161" t="s">
        <v>51</v>
      </c>
      <c r="C40" s="159" t="s">
        <v>296</v>
      </c>
      <c r="D40" s="160">
        <v>30</v>
      </c>
      <c r="J40" s="150" t="s">
        <v>295</v>
      </c>
      <c r="K40" s="136" t="s">
        <v>50</v>
      </c>
      <c r="L40" s="136" t="s">
        <v>290</v>
      </c>
      <c r="M40" s="136" t="s">
        <v>304</v>
      </c>
      <c r="N40" s="167">
        <f>VLOOKUP(L40,'ISINS_&amp;_SWAPS'!$F$8:$V$25,16,0)</f>
        <v>30</v>
      </c>
    </row>
    <row r="41" spans="1:14">
      <c r="B41" s="161" t="s">
        <v>52</v>
      </c>
      <c r="C41" s="159" t="s">
        <v>298</v>
      </c>
      <c r="D41" s="160">
        <v>30</v>
      </c>
      <c r="J41" s="150" t="s">
        <v>295</v>
      </c>
      <c r="K41" s="136" t="s">
        <v>50</v>
      </c>
      <c r="L41" s="136" t="s">
        <v>286</v>
      </c>
      <c r="M41" s="136" t="s">
        <v>304</v>
      </c>
      <c r="N41" s="167">
        <f>VLOOKUP(L41,'ISINS_&amp;_SWAPS'!$F$8:$V$25,16,0)</f>
        <v>30</v>
      </c>
    </row>
    <row r="42" spans="1:14" ht="13.5" thickBot="1">
      <c r="B42" s="162" t="s">
        <v>53</v>
      </c>
      <c r="C42" s="163" t="s">
        <v>297</v>
      </c>
      <c r="D42" s="164">
        <v>30</v>
      </c>
      <c r="J42" s="150" t="s">
        <v>296</v>
      </c>
      <c r="K42" s="136" t="s">
        <v>51</v>
      </c>
      <c r="L42" s="136" t="s">
        <v>51</v>
      </c>
      <c r="M42" s="136" t="s">
        <v>303</v>
      </c>
      <c r="N42" s="167">
        <f>VLOOKUP(L42,'ISINS_&amp;_SWAPS'!$F$8:$V$25,16,0)</f>
        <v>30</v>
      </c>
    </row>
    <row r="43" spans="1:14">
      <c r="J43" s="150" t="s">
        <v>296</v>
      </c>
      <c r="K43" s="136" t="s">
        <v>51</v>
      </c>
      <c r="L43" s="136" t="s">
        <v>291</v>
      </c>
      <c r="M43" s="136" t="s">
        <v>304</v>
      </c>
      <c r="N43" s="167">
        <f>VLOOKUP(L43,'ISINS_&amp;_SWAPS'!$F$8:$V$25,16,0)</f>
        <v>30</v>
      </c>
    </row>
    <row r="44" spans="1:14">
      <c r="J44" s="150" t="s">
        <v>296</v>
      </c>
      <c r="K44" s="136" t="s">
        <v>51</v>
      </c>
      <c r="L44" s="136" t="s">
        <v>287</v>
      </c>
      <c r="M44" s="136" t="s">
        <v>304</v>
      </c>
      <c r="N44" s="167">
        <f>VLOOKUP(L44,'ISINS_&amp;_SWAPS'!$F$8:$V$25,16,0)</f>
        <v>30</v>
      </c>
    </row>
    <row r="45" spans="1:14">
      <c r="B45" s="173" t="s">
        <v>313</v>
      </c>
      <c r="J45" s="150" t="s">
        <v>298</v>
      </c>
      <c r="K45" s="136" t="s">
        <v>52</v>
      </c>
      <c r="L45" s="136" t="s">
        <v>52</v>
      </c>
      <c r="M45" s="136" t="s">
        <v>303</v>
      </c>
      <c r="N45" s="167">
        <f>VLOOKUP(L45,'ISINS_&amp;_SWAPS'!$F$8:$V$25,16,0)</f>
        <v>30</v>
      </c>
    </row>
    <row r="46" spans="1:14" ht="13.5" thickBot="1">
      <c r="B46" s="173" t="s">
        <v>314</v>
      </c>
      <c r="J46" s="150" t="s">
        <v>298</v>
      </c>
      <c r="K46" s="136" t="s">
        <v>52</v>
      </c>
      <c r="L46" s="136" t="s">
        <v>289</v>
      </c>
      <c r="M46" s="136" t="s">
        <v>304</v>
      </c>
      <c r="N46" s="167">
        <f>VLOOKUP(L46,'ISINS_&amp;_SWAPS'!$F$8:$V$25,16,0)</f>
        <v>30</v>
      </c>
    </row>
    <row r="47" spans="1:14">
      <c r="B47" s="165" t="s">
        <v>300</v>
      </c>
      <c r="C47" s="166" t="s">
        <v>305</v>
      </c>
      <c r="D47" s="166" t="s">
        <v>301</v>
      </c>
      <c r="E47" s="166" t="s">
        <v>302</v>
      </c>
      <c r="F47" s="158" t="s">
        <v>310</v>
      </c>
      <c r="J47" s="150" t="s">
        <v>298</v>
      </c>
      <c r="K47" s="136" t="s">
        <v>52</v>
      </c>
      <c r="L47" s="136" t="s">
        <v>294</v>
      </c>
      <c r="M47" s="136" t="s">
        <v>304</v>
      </c>
      <c r="N47" s="167">
        <f>VLOOKUP(L47,'ISINS_&amp;_SWAPS'!$F$8:$V$25,16,0)</f>
        <v>30</v>
      </c>
    </row>
    <row r="48" spans="1:14">
      <c r="B48" s="150" t="s">
        <v>298</v>
      </c>
      <c r="C48" s="136" t="s">
        <v>52</v>
      </c>
      <c r="D48" s="136" t="s">
        <v>289</v>
      </c>
      <c r="E48" s="136" t="s">
        <v>304</v>
      </c>
      <c r="F48" s="167">
        <f t="shared" ref="F48:F55" si="0">VLOOKUP(C48,BOND_CPR_Table,3,0)</f>
        <v>30</v>
      </c>
      <c r="J48" s="150" t="s">
        <v>297</v>
      </c>
      <c r="K48" s="136" t="s">
        <v>53</v>
      </c>
      <c r="L48" s="136" t="s">
        <v>53</v>
      </c>
      <c r="M48" s="136" t="s">
        <v>303</v>
      </c>
      <c r="N48" s="167">
        <f>VLOOKUP(L48,'ISINS_&amp;_SWAPS'!$F$8:$V$25,16,0)</f>
        <v>30</v>
      </c>
    </row>
    <row r="49" spans="2:14">
      <c r="B49" s="150" t="s">
        <v>298</v>
      </c>
      <c r="C49" s="136" t="s">
        <v>52</v>
      </c>
      <c r="D49" s="136" t="s">
        <v>294</v>
      </c>
      <c r="E49" s="136" t="s">
        <v>304</v>
      </c>
      <c r="F49" s="167">
        <f t="shared" si="0"/>
        <v>30</v>
      </c>
      <c r="J49" s="150" t="s">
        <v>297</v>
      </c>
      <c r="K49" s="136" t="s">
        <v>53</v>
      </c>
      <c r="L49" s="136" t="s">
        <v>288</v>
      </c>
      <c r="M49" s="136" t="s">
        <v>304</v>
      </c>
      <c r="N49" s="167">
        <f>VLOOKUP(L49,'ISINS_&amp;_SWAPS'!$F$8:$V$25,16,0)</f>
        <v>30</v>
      </c>
    </row>
    <row r="50" spans="2:14" ht="13.5" thickBot="1">
      <c r="B50" s="150" t="s">
        <v>296</v>
      </c>
      <c r="C50" s="136" t="s">
        <v>51</v>
      </c>
      <c r="D50" s="136" t="s">
        <v>291</v>
      </c>
      <c r="E50" s="136" t="s">
        <v>304</v>
      </c>
      <c r="F50" s="167">
        <f t="shared" si="0"/>
        <v>30</v>
      </c>
      <c r="J50" s="168" t="s">
        <v>297</v>
      </c>
      <c r="K50" s="169" t="s">
        <v>53</v>
      </c>
      <c r="L50" s="169" t="s">
        <v>292</v>
      </c>
      <c r="M50" s="169" t="s">
        <v>304</v>
      </c>
      <c r="N50" s="170">
        <f>VLOOKUP(L50,'ISINS_&amp;_SWAPS'!$F$8:$V$25,16,0)</f>
        <v>30</v>
      </c>
    </row>
    <row r="51" spans="2:14">
      <c r="B51" s="150" t="s">
        <v>296</v>
      </c>
      <c r="C51" s="136" t="s">
        <v>51</v>
      </c>
      <c r="D51" s="136" t="s">
        <v>287</v>
      </c>
      <c r="E51" s="136" t="s">
        <v>304</v>
      </c>
      <c r="F51" s="167">
        <f t="shared" si="0"/>
        <v>30</v>
      </c>
    </row>
    <row r="52" spans="2:14">
      <c r="B52" s="150" t="s">
        <v>295</v>
      </c>
      <c r="C52" s="136" t="s">
        <v>50</v>
      </c>
      <c r="D52" s="136" t="s">
        <v>290</v>
      </c>
      <c r="E52" s="136" t="s">
        <v>304</v>
      </c>
      <c r="F52" s="167">
        <f t="shared" si="0"/>
        <v>30</v>
      </c>
    </row>
    <row r="53" spans="2:14">
      <c r="B53" s="150" t="s">
        <v>295</v>
      </c>
      <c r="C53" s="136" t="s">
        <v>50</v>
      </c>
      <c r="D53" s="136" t="s">
        <v>286</v>
      </c>
      <c r="E53" s="136" t="s">
        <v>304</v>
      </c>
      <c r="F53" s="167">
        <f t="shared" si="0"/>
        <v>30</v>
      </c>
    </row>
    <row r="54" spans="2:14">
      <c r="B54" s="150" t="s">
        <v>297</v>
      </c>
      <c r="C54" s="136" t="s">
        <v>53</v>
      </c>
      <c r="D54" s="136" t="s">
        <v>288</v>
      </c>
      <c r="E54" s="136" t="s">
        <v>304</v>
      </c>
      <c r="F54" s="167">
        <f t="shared" si="0"/>
        <v>30</v>
      </c>
    </row>
    <row r="55" spans="2:14" ht="13.5" thickBot="1">
      <c r="B55" s="168" t="s">
        <v>297</v>
      </c>
      <c r="C55" s="169" t="s">
        <v>53</v>
      </c>
      <c r="D55" s="169" t="s">
        <v>292</v>
      </c>
      <c r="E55" s="169" t="s">
        <v>304</v>
      </c>
      <c r="F55" s="170">
        <f t="shared" si="0"/>
        <v>30</v>
      </c>
    </row>
    <row r="57" spans="2:14">
      <c r="B57" s="131"/>
      <c r="C57" s="131"/>
      <c r="D57" s="131"/>
      <c r="E57" s="131"/>
      <c r="F57" s="131"/>
    </row>
    <row r="58" spans="2:14">
      <c r="B58" s="131"/>
      <c r="C58" s="131"/>
      <c r="D58" s="131"/>
      <c r="E58" s="131"/>
      <c r="F58" s="131"/>
    </row>
    <row r="59" spans="2:14">
      <c r="B59" s="131"/>
      <c r="C59" s="131"/>
      <c r="D59" s="131"/>
      <c r="E59" s="131"/>
      <c r="F59" s="131"/>
    </row>
    <row r="60" spans="2:14">
      <c r="B60" s="131"/>
      <c r="C60" s="131"/>
      <c r="D60" s="131"/>
      <c r="E60" s="131"/>
      <c r="F60" s="131"/>
    </row>
  </sheetData>
  <dataConsolidate/>
  <phoneticPr fontId="2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204" r:id="rId4" name="CommandButton1">
          <controlPr defaultSize="0" autoLine="0" r:id="rId5">
            <anchor moveWithCells="1">
              <from>
                <xdr:col>3</xdr:col>
                <xdr:colOff>0</xdr:colOff>
                <xdr:row>1</xdr:row>
                <xdr:rowOff>123825</xdr:rowOff>
              </from>
              <to>
                <xdr:col>5</xdr:col>
                <xdr:colOff>57150</xdr:colOff>
                <xdr:row>3</xdr:row>
                <xdr:rowOff>57150</xdr:rowOff>
              </to>
            </anchor>
          </controlPr>
        </control>
      </mc:Choice>
      <mc:Fallback>
        <control shapeId="8204" r:id="rId4" name="CommandButton1"/>
      </mc:Fallback>
    </mc:AlternateContent>
    <mc:AlternateContent xmlns:mc="http://schemas.openxmlformats.org/markup-compatibility/2006">
      <mc:Choice Requires="x14">
        <control shapeId="8205" r:id="rId6" name="CommandButton2">
          <controlPr defaultSize="0" autoLine="0" r:id="rId7">
            <anchor moveWithCells="1">
              <from>
                <xdr:col>3</xdr:col>
                <xdr:colOff>19050</xdr:colOff>
                <xdr:row>3</xdr:row>
                <xdr:rowOff>133350</xdr:rowOff>
              </from>
              <to>
                <xdr:col>5</xdr:col>
                <xdr:colOff>428625</xdr:colOff>
                <xdr:row>5</xdr:row>
                <xdr:rowOff>57150</xdr:rowOff>
              </to>
            </anchor>
          </controlPr>
        </control>
      </mc:Choice>
      <mc:Fallback>
        <control shapeId="8205" r:id="rId6" name="CommandButton2"/>
      </mc:Fallback>
    </mc:AlternateContent>
    <mc:AlternateContent xmlns:mc="http://schemas.openxmlformats.org/markup-compatibility/2006">
      <mc:Choice Requires="x14">
        <control shapeId="8206" r:id="rId8" name="CommandButton3">
          <controlPr defaultSize="0" autoLine="0" r:id="rId9">
            <anchor moveWithCells="1">
              <from>
                <xdr:col>3</xdr:col>
                <xdr:colOff>9525</xdr:colOff>
                <xdr:row>6</xdr:row>
                <xdr:rowOff>114300</xdr:rowOff>
              </from>
              <to>
                <xdr:col>5</xdr:col>
                <xdr:colOff>57150</xdr:colOff>
                <xdr:row>8</xdr:row>
                <xdr:rowOff>57150</xdr:rowOff>
              </to>
            </anchor>
          </controlPr>
        </control>
      </mc:Choice>
      <mc:Fallback>
        <control shapeId="8206" r:id="rId8" name="CommandButton3"/>
      </mc:Fallback>
    </mc:AlternateContent>
    <mc:AlternateContent xmlns:mc="http://schemas.openxmlformats.org/markup-compatibility/2006">
      <mc:Choice Requires="x14">
        <control shapeId="8207" r:id="rId10" name="CommandButton4">
          <controlPr defaultSize="0" autoLine="0" r:id="rId11">
            <anchor moveWithCells="1">
              <from>
                <xdr:col>3</xdr:col>
                <xdr:colOff>9525</xdr:colOff>
                <xdr:row>8</xdr:row>
                <xdr:rowOff>114300</xdr:rowOff>
              </from>
              <to>
                <xdr:col>5</xdr:col>
                <xdr:colOff>57150</xdr:colOff>
                <xdr:row>10</xdr:row>
                <xdr:rowOff>57150</xdr:rowOff>
              </to>
            </anchor>
          </controlPr>
        </control>
      </mc:Choice>
      <mc:Fallback>
        <control shapeId="8207" r:id="rId10" name="CommandButton4"/>
      </mc:Fallback>
    </mc:AlternateContent>
    <mc:AlternateContent xmlns:mc="http://schemas.openxmlformats.org/markup-compatibility/2006">
      <mc:Choice Requires="x14">
        <control shapeId="8208" r:id="rId12" name="CommandButton5">
          <controlPr defaultSize="0" autoLine="0" r:id="rId13">
            <anchor moveWithCells="1">
              <from>
                <xdr:col>3</xdr:col>
                <xdr:colOff>9525</xdr:colOff>
                <xdr:row>13</xdr:row>
                <xdr:rowOff>266700</xdr:rowOff>
              </from>
              <to>
                <xdr:col>5</xdr:col>
                <xdr:colOff>57150</xdr:colOff>
                <xdr:row>15</xdr:row>
                <xdr:rowOff>76200</xdr:rowOff>
              </to>
            </anchor>
          </controlPr>
        </control>
      </mc:Choice>
      <mc:Fallback>
        <control shapeId="8208" r:id="rId12" name="CommandButton5"/>
      </mc:Fallback>
    </mc:AlternateContent>
    <mc:AlternateContent xmlns:mc="http://schemas.openxmlformats.org/markup-compatibility/2006">
      <mc:Choice Requires="x14">
        <control shapeId="8209" r:id="rId14" name="CommandButton6">
          <controlPr defaultSize="0" autoLine="0" r:id="rId15">
            <anchor moveWithCells="1">
              <from>
                <xdr:col>3</xdr:col>
                <xdr:colOff>9525</xdr:colOff>
                <xdr:row>15</xdr:row>
                <xdr:rowOff>123825</xdr:rowOff>
              </from>
              <to>
                <xdr:col>5</xdr:col>
                <xdr:colOff>57150</xdr:colOff>
                <xdr:row>17</xdr:row>
                <xdr:rowOff>66675</xdr:rowOff>
              </to>
            </anchor>
          </controlPr>
        </control>
      </mc:Choice>
      <mc:Fallback>
        <control shapeId="8209" r:id="rId14" name="CommandButton6"/>
      </mc:Fallback>
    </mc:AlternateContent>
    <mc:AlternateContent xmlns:mc="http://schemas.openxmlformats.org/markup-compatibility/2006">
      <mc:Choice Requires="x14">
        <control shapeId="8210" r:id="rId16" name="CommandButton7">
          <controlPr defaultSize="0" autoLine="0" r:id="rId17">
            <anchor moveWithCells="1">
              <from>
                <xdr:col>3</xdr:col>
                <xdr:colOff>0</xdr:colOff>
                <xdr:row>17</xdr:row>
                <xdr:rowOff>133350</xdr:rowOff>
              </from>
              <to>
                <xdr:col>5</xdr:col>
                <xdr:colOff>57150</xdr:colOff>
                <xdr:row>18</xdr:row>
                <xdr:rowOff>257175</xdr:rowOff>
              </to>
            </anchor>
          </controlPr>
        </control>
      </mc:Choice>
      <mc:Fallback>
        <control shapeId="8210" r:id="rId16" name="CommandButton7"/>
      </mc:Fallback>
    </mc:AlternateContent>
    <mc:AlternateContent xmlns:mc="http://schemas.openxmlformats.org/markup-compatibility/2006">
      <mc:Choice Requires="x14">
        <control shapeId="8211" r:id="rId18" name="CommandButton8">
          <controlPr defaultSize="0" autoLine="0" r:id="rId19">
            <anchor moveWithCells="1">
              <from>
                <xdr:col>3</xdr:col>
                <xdr:colOff>123825</xdr:colOff>
                <xdr:row>11</xdr:row>
                <xdr:rowOff>28575</xdr:rowOff>
              </from>
              <to>
                <xdr:col>4</xdr:col>
                <xdr:colOff>600075</xdr:colOff>
                <xdr:row>13</xdr:row>
                <xdr:rowOff>66675</xdr:rowOff>
              </to>
            </anchor>
          </controlPr>
        </control>
      </mc:Choice>
      <mc:Fallback>
        <control shapeId="8211" r:id="rId18" name="CommandButton8"/>
      </mc:Fallback>
    </mc:AlternateContent>
    <mc:AlternateContent xmlns:mc="http://schemas.openxmlformats.org/markup-compatibility/2006">
      <mc:Choice Requires="x14">
        <control shapeId="8213" r:id="rId20" name="CommandButton9">
          <controlPr defaultSize="0" autoLine="0" r:id="rId21">
            <anchor moveWithCells="1">
              <from>
                <xdr:col>0</xdr:col>
                <xdr:colOff>142875</xdr:colOff>
                <xdr:row>13</xdr:row>
                <xdr:rowOff>266700</xdr:rowOff>
              </from>
              <to>
                <xdr:col>2</xdr:col>
                <xdr:colOff>66675</xdr:colOff>
                <xdr:row>15</xdr:row>
                <xdr:rowOff>76200</xdr:rowOff>
              </to>
            </anchor>
          </controlPr>
        </control>
      </mc:Choice>
      <mc:Fallback>
        <control shapeId="8213" r:id="rId20" name="CommandButton9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indexed="11"/>
  </sheetPr>
  <dimension ref="B1:AA52"/>
  <sheetViews>
    <sheetView topLeftCell="K1" zoomScale="115" zoomScaleNormal="115" workbookViewId="0">
      <selection activeCell="U12" sqref="U12"/>
    </sheetView>
  </sheetViews>
  <sheetFormatPr defaultRowHeight="12.75" outlineLevelCol="1"/>
  <cols>
    <col min="1" max="1" width="9.140625" style="136"/>
    <col min="2" max="2" width="25" style="136" bestFit="1" customWidth="1"/>
    <col min="3" max="3" width="20.7109375" style="136" customWidth="1"/>
    <col min="4" max="4" width="11.7109375" style="136" bestFit="1" customWidth="1"/>
    <col min="5" max="5" width="12.140625" style="136" customWidth="1"/>
    <col min="6" max="6" width="15.7109375" style="136" bestFit="1" customWidth="1"/>
    <col min="7" max="7" width="14.85546875" style="136" bestFit="1" customWidth="1"/>
    <col min="8" max="8" width="12.140625" style="136" bestFit="1" customWidth="1"/>
    <col min="9" max="9" width="16.5703125" style="136" customWidth="1" outlineLevel="1"/>
    <col min="10" max="10" width="33.140625" style="136" customWidth="1" outlineLevel="1"/>
    <col min="11" max="11" width="17" style="137" customWidth="1" outlineLevel="1"/>
    <col min="12" max="12" width="12" style="138" customWidth="1" outlineLevel="1"/>
    <col min="13" max="13" width="13.140625" style="138" customWidth="1" outlineLevel="1"/>
    <col min="14" max="14" width="12.7109375" style="138" customWidth="1" outlineLevel="1"/>
    <col min="15" max="15" width="12.7109375" style="136" customWidth="1" outlineLevel="1"/>
    <col min="16" max="16" width="10.140625" style="136" customWidth="1" outlineLevel="1"/>
    <col min="17" max="17" width="12.7109375" style="136" customWidth="1" outlineLevel="1"/>
    <col min="18" max="18" width="12.5703125" style="136" customWidth="1" outlineLevel="1"/>
    <col min="19" max="19" width="11.28515625" style="136" customWidth="1" outlineLevel="1"/>
    <col min="20" max="20" width="6.140625" style="136" customWidth="1" outlineLevel="1"/>
    <col min="21" max="21" width="19.42578125" style="136" bestFit="1" customWidth="1"/>
    <col min="22" max="22" width="17" style="136" bestFit="1" customWidth="1"/>
    <col min="23" max="23" width="8.7109375" style="136" bestFit="1" customWidth="1"/>
    <col min="24" max="24" width="11.5703125" style="136" customWidth="1"/>
    <col min="25" max="26" width="9.140625" style="136"/>
    <col min="27" max="27" width="19" style="136" customWidth="1"/>
    <col min="28" max="16384" width="9.140625" style="136"/>
  </cols>
  <sheetData>
    <row r="1" spans="2:27" s="86" customFormat="1">
      <c r="E1" s="136"/>
      <c r="K1" s="87"/>
      <c r="L1" s="90"/>
      <c r="M1" s="90"/>
      <c r="N1" s="90"/>
    </row>
    <row r="2" spans="2:27" s="86" customFormat="1">
      <c r="C2" s="199" t="s">
        <v>320</v>
      </c>
      <c r="E2" s="136"/>
      <c r="K2" s="87"/>
      <c r="L2" s="91"/>
      <c r="M2" s="91"/>
      <c r="N2" s="91"/>
    </row>
    <row r="3" spans="2:27" s="86" customFormat="1">
      <c r="C3" s="198" t="s">
        <v>321</v>
      </c>
      <c r="E3" s="136"/>
      <c r="K3" s="87"/>
      <c r="L3" s="89"/>
      <c r="M3" s="89"/>
      <c r="N3" s="89"/>
    </row>
    <row r="4" spans="2:27" s="86" customFormat="1" ht="13.5" thickBot="1">
      <c r="E4" s="136"/>
      <c r="K4" s="87"/>
      <c r="L4" s="89"/>
      <c r="M4" s="89"/>
      <c r="N4" s="89"/>
    </row>
    <row r="5" spans="2:27" s="86" customFormat="1" ht="13.5" thickBot="1">
      <c r="E5" s="136"/>
      <c r="K5" s="87"/>
      <c r="L5" s="89"/>
      <c r="M5" s="100" t="s">
        <v>58</v>
      </c>
      <c r="N5" s="99"/>
    </row>
    <row r="6" spans="2:27" s="124" customFormat="1" ht="15">
      <c r="G6" s="125" t="s">
        <v>54</v>
      </c>
      <c r="H6" s="126"/>
      <c r="I6" s="126" t="s">
        <v>41</v>
      </c>
      <c r="J6" s="126"/>
      <c r="K6" s="127" t="s">
        <v>87</v>
      </c>
      <c r="L6" s="128"/>
      <c r="M6" s="129" t="s">
        <v>55</v>
      </c>
      <c r="N6" s="128" t="s">
        <v>55</v>
      </c>
      <c r="O6" s="125"/>
      <c r="P6" s="126"/>
      <c r="Q6" s="126"/>
      <c r="R6" s="126"/>
      <c r="S6" s="126"/>
      <c r="T6" s="126"/>
      <c r="U6" s="126" t="s">
        <v>77</v>
      </c>
      <c r="V6" s="126" t="s">
        <v>78</v>
      </c>
      <c r="W6" s="126"/>
      <c r="X6" s="130" t="s">
        <v>331</v>
      </c>
      <c r="Z6" s="124" t="s">
        <v>326</v>
      </c>
      <c r="AA6" s="130" t="s">
        <v>61</v>
      </c>
    </row>
    <row r="7" spans="2:27" s="86" customFormat="1" ht="13.5" thickBot="1">
      <c r="E7" s="136"/>
      <c r="G7" s="218"/>
      <c r="K7" s="87"/>
      <c r="L7" s="104"/>
      <c r="M7" s="101"/>
      <c r="N7" s="102"/>
      <c r="O7" s="88"/>
      <c r="Y7" s="218"/>
    </row>
    <row r="8" spans="2:27" s="103" customFormat="1" ht="36" thickTop="1" thickBot="1">
      <c r="B8" s="118" t="s">
        <v>309</v>
      </c>
      <c r="C8" s="151" t="s">
        <v>307</v>
      </c>
      <c r="D8" s="175" t="s">
        <v>302</v>
      </c>
      <c r="E8" s="176" t="s">
        <v>300</v>
      </c>
      <c r="F8" s="177" t="s">
        <v>306</v>
      </c>
      <c r="G8" s="177" t="s">
        <v>85</v>
      </c>
      <c r="H8" s="176" t="s">
        <v>64</v>
      </c>
      <c r="I8" s="176" t="s">
        <v>43</v>
      </c>
      <c r="J8" s="176" t="s">
        <v>44</v>
      </c>
      <c r="K8" s="178" t="s">
        <v>88</v>
      </c>
      <c r="L8" s="179" t="s">
        <v>40</v>
      </c>
      <c r="M8" s="200" t="s">
        <v>55</v>
      </c>
      <c r="N8" s="200" t="s">
        <v>63</v>
      </c>
      <c r="O8" s="177" t="s">
        <v>42</v>
      </c>
      <c r="P8" s="176" t="s">
        <v>45</v>
      </c>
      <c r="Q8" s="176" t="s">
        <v>46</v>
      </c>
      <c r="R8" s="176" t="s">
        <v>47</v>
      </c>
      <c r="S8" s="176" t="s">
        <v>48</v>
      </c>
      <c r="T8" s="176" t="s">
        <v>49</v>
      </c>
      <c r="U8" s="180" t="s">
        <v>59</v>
      </c>
      <c r="V8" s="181" t="s">
        <v>330</v>
      </c>
      <c r="W8" s="181" t="s">
        <v>62</v>
      </c>
      <c r="X8" s="179" t="s">
        <v>328</v>
      </c>
      <c r="Y8" s="182" t="s">
        <v>67</v>
      </c>
      <c r="Z8" s="208" t="s">
        <v>325</v>
      </c>
      <c r="AA8" s="209" t="s">
        <v>329</v>
      </c>
    </row>
    <row r="9" spans="2:27" s="86" customFormat="1">
      <c r="B9" s="132"/>
      <c r="C9" s="201" t="s">
        <v>324</v>
      </c>
      <c r="D9" s="183" t="s">
        <v>293</v>
      </c>
      <c r="E9" s="219" t="s">
        <v>295</v>
      </c>
      <c r="F9" s="123" t="s">
        <v>50</v>
      </c>
      <c r="G9" s="153" t="s">
        <v>50</v>
      </c>
      <c r="H9" s="119" t="str">
        <f>[1]!blp($G9&amp;" "&amp;"Mtge ISIN",H$8)</f>
        <v>Mtge</v>
      </c>
      <c r="I9" s="119" t="str">
        <f>[1]!blp($G9&amp;" "&amp;$H9,I$8)</f>
        <v>GNR 2005-76 B</v>
      </c>
      <c r="J9" s="119" t="str">
        <f>[1]!blp($G9&amp;" "&amp;$H9,J$8)</f>
        <v>GOVERNMENT NATIONAL MORTGAGE A</v>
      </c>
      <c r="K9" s="212">
        <v>1000000</v>
      </c>
      <c r="L9" s="119" t="str">
        <f>[1]!blp($G9&amp;" "&amp;$H9,L$8)</f>
        <v>10/1/2005</v>
      </c>
      <c r="M9" s="114" t="str">
        <f>[1]!blp($G9&amp;" "&amp;$H9,M$8)</f>
        <v>6/1/2016</v>
      </c>
      <c r="N9" s="115">
        <v>20160526</v>
      </c>
      <c r="O9" s="119">
        <f>[1]!blp($G9&amp;" "&amp;$H9,O$8)</f>
        <v>4.7914699999999999E-3</v>
      </c>
      <c r="P9" s="119" t="str">
        <f>[1]!blp($G9&amp;" "&amp;$H9,P$8)</f>
        <v>VARIABLE</v>
      </c>
      <c r="Q9" s="119">
        <f>[1]!blp($G9&amp;" "&amp;$H9,Q$8)</f>
        <v>4.8860000000000001</v>
      </c>
      <c r="R9" s="119" t="str">
        <f>[1]!blp($G9&amp;" "&amp;$H9,R$8)</f>
        <v>6/16/2016</v>
      </c>
      <c r="S9" s="119" t="str">
        <f>[1]!blp($G9&amp;" "&amp;$H9,S$8)</f>
        <v>7/16/2016</v>
      </c>
      <c r="T9" s="119" t="str">
        <f>[1]!blp($G9&amp;" "&amp;$H9,T$8)</f>
        <v>USD</v>
      </c>
      <c r="U9" s="155">
        <f>VLOOKUP(F9,BOND_CPR_Table,3,0)</f>
        <v>30</v>
      </c>
      <c r="V9" s="155" t="str">
        <f>[1]!blp($G9&amp;" "&amp;$H9,V$8)</f>
        <v>CPJ</v>
      </c>
      <c r="W9" s="155" t="str">
        <f>[1]!blp($G9&amp;" "&amp;$H9,W$8)</f>
        <v>10/16/2038</v>
      </c>
      <c r="X9" s="120">
        <f>[1]!blp($G9&amp;" "&amp;$H9,X$6)</f>
        <v>0</v>
      </c>
      <c r="Y9" s="184" t="str">
        <f>[1]!blp($G9&amp;" "&amp;$H9,Y$8)</f>
        <v>15 DAYS</v>
      </c>
      <c r="Z9" s="116">
        <f>[1]!blp($G9&amp;" "&amp;$H9,Z$6)</f>
        <v>12</v>
      </c>
      <c r="AA9" s="210">
        <f>_xll.BDP($G9&amp;" mtge",$AA$6,"ALLOW_DYNAMIC_CASHFLOW_CALCS ","Y","MTG PREPAY SPEED",$U9,"MTG PREPAY TYP",$V9)</f>
        <v>0</v>
      </c>
    </row>
    <row r="10" spans="2:27" s="86" customFormat="1">
      <c r="B10" s="132"/>
      <c r="C10" s="201" t="s">
        <v>324</v>
      </c>
      <c r="D10" s="183" t="s">
        <v>293</v>
      </c>
      <c r="E10" s="219" t="s">
        <v>296</v>
      </c>
      <c r="F10" s="123" t="s">
        <v>51</v>
      </c>
      <c r="G10" s="121" t="s">
        <v>51</v>
      </c>
      <c r="H10" s="119" t="str">
        <f>[1]!blp($G10&amp;" "&amp;"Mtge ISIN",H$8)</f>
        <v>Mtge</v>
      </c>
      <c r="I10" s="119" t="str">
        <f>[1]!blp($G10&amp;" "&amp;$H10,I$8)</f>
        <v>GNR 2005-90 B</v>
      </c>
      <c r="J10" s="119" t="str">
        <f>[1]!blp($G10&amp;" "&amp;$H10,J$8)</f>
        <v>GOVERNMENT NATIONAL MORTGAGE A</v>
      </c>
      <c r="K10" s="212">
        <v>1000000</v>
      </c>
      <c r="L10" s="119" t="str">
        <f>[1]!blp($G10&amp;" "&amp;$H10,L$8)</f>
        <v>12/1/2005</v>
      </c>
      <c r="M10" s="116" t="str">
        <f>[1]!blp($G10&amp;" "&amp;$H10,M$8)</f>
        <v>6/1/2016</v>
      </c>
      <c r="N10" s="117">
        <v>20160526</v>
      </c>
      <c r="O10" s="119">
        <f>[1]!blp($G10&amp;" "&amp;$H10,O$8)</f>
        <v>4.6813410000000007E-2</v>
      </c>
      <c r="P10" s="119" t="str">
        <f>[1]!blp($G10&amp;" "&amp;$H10,P$8)</f>
        <v>VARIABLE</v>
      </c>
      <c r="Q10" s="119">
        <f>[1]!blp($G10&amp;" "&amp;$H10,Q$8)</f>
        <v>4.7279999999999998</v>
      </c>
      <c r="R10" s="119" t="str">
        <f>[1]!blp($G10&amp;" "&amp;$H10,R$8)</f>
        <v>6/16/2016</v>
      </c>
      <c r="S10" s="119" t="str">
        <f>[1]!blp($G10&amp;" "&amp;$H10,S$8)</f>
        <v>7/16/2016</v>
      </c>
      <c r="T10" s="119" t="str">
        <f>[1]!blp($G10&amp;" "&amp;$H10,T$8)</f>
        <v>USD</v>
      </c>
      <c r="U10" s="155">
        <f>VLOOKUP(F10,BOND_CPR_Table,3,0)</f>
        <v>30</v>
      </c>
      <c r="V10" s="155" t="str">
        <f>[1]!blp($G10&amp;" "&amp;$H10,V$8)</f>
        <v>CPJ</v>
      </c>
      <c r="W10" s="155" t="str">
        <f>[1]!blp($G10&amp;" "&amp;$H10,W$8)</f>
        <v>8/16/2035</v>
      </c>
      <c r="X10" s="120">
        <f>[1]!blp($G10&amp;" "&amp;$H10,X$6)</f>
        <v>0.25</v>
      </c>
      <c r="Y10" s="184" t="str">
        <f>[1]!blp($G10&amp;" "&amp;$H10,Y$8)</f>
        <v>15 DAYS</v>
      </c>
      <c r="Z10" s="116">
        <f>[1]!blp($G10&amp;" "&amp;$H10,Z$6)</f>
        <v>12</v>
      </c>
      <c r="AA10" s="210">
        <f>_xll.BDP($G10&amp;" mtge",$AA$6,"ALLOW_DYNAMIC_CASHFLOW_CALCS ","Y","MTG PREPAY SPEED",$U10,"MTG PREPAY TYP",$V10)</f>
        <v>0.16</v>
      </c>
    </row>
    <row r="11" spans="2:27" s="86" customFormat="1">
      <c r="B11" s="132"/>
      <c r="C11" s="201" t="s">
        <v>324</v>
      </c>
      <c r="D11" s="183" t="s">
        <v>293</v>
      </c>
      <c r="E11" s="219" t="s">
        <v>298</v>
      </c>
      <c r="F11" s="122" t="s">
        <v>52</v>
      </c>
      <c r="G11" s="133" t="s">
        <v>52</v>
      </c>
      <c r="H11" s="119" t="str">
        <f>[1]!blp($G11&amp;" "&amp;"Mtge ISIN",H$8)</f>
        <v>Mtge</v>
      </c>
      <c r="I11" s="119" t="str">
        <f>[1]!blp($G11&amp;" "&amp;$H11,I$8)</f>
        <v>GNR 2007-34 C</v>
      </c>
      <c r="J11" s="119" t="str">
        <f>[1]!blp($G11&amp;" "&amp;$H11,J$8)</f>
        <v>GOVERNMENT NATIONAL MORTGAGE A</v>
      </c>
      <c r="K11" s="212">
        <v>1000000</v>
      </c>
      <c r="L11" s="119" t="str">
        <f>[1]!blp($G11&amp;" "&amp;$H11,L$8)</f>
        <v>6/1/2007</v>
      </c>
      <c r="M11" s="116" t="str">
        <f>[1]!blp($G11&amp;" "&amp;$H11,M$8)</f>
        <v>6/1/2016</v>
      </c>
      <c r="N11" s="117">
        <v>20160526</v>
      </c>
      <c r="O11" s="119">
        <f>[1]!blp($G11&amp;" "&amp;$H11,O$8)</f>
        <v>0.20053151999999999</v>
      </c>
      <c r="P11" s="119" t="str">
        <f>[1]!blp($G11&amp;" "&amp;$H11,P$8)</f>
        <v>VARIABLE</v>
      </c>
      <c r="Q11" s="119">
        <f>[1]!blp($G11&amp;" "&amp;$H11,Q$8)</f>
        <v>5.03</v>
      </c>
      <c r="R11" s="119" t="str">
        <f>[1]!blp($G11&amp;" "&amp;$H11,R$8)</f>
        <v>6/16/2016</v>
      </c>
      <c r="S11" s="119" t="str">
        <f>[1]!blp($G11&amp;" "&amp;$H11,S$8)</f>
        <v>7/16/2016</v>
      </c>
      <c r="T11" s="119" t="str">
        <f>[1]!blp($G11&amp;" "&amp;$H11,T$8)</f>
        <v>USD</v>
      </c>
      <c r="U11" s="155">
        <v>30</v>
      </c>
      <c r="V11" s="155" t="str">
        <f>[1]!blp($G11&amp;" "&amp;$H11,V$8)</f>
        <v>CPJ</v>
      </c>
      <c r="W11" s="155" t="str">
        <f>[1]!blp($G11&amp;" "&amp;$H11,W$8)</f>
        <v>2/16/2040</v>
      </c>
      <c r="X11" s="120">
        <f>[1]!blp($G11&amp;" "&amp;$H11,X$6)</f>
        <v>1.2</v>
      </c>
      <c r="Y11" s="184" t="str">
        <f>[1]!blp($G11&amp;" "&amp;$H11,Y$8)</f>
        <v>15 DAYS</v>
      </c>
      <c r="Z11" s="116">
        <f>[1]!blp($G11&amp;" "&amp;$H11,Z$6)</f>
        <v>12</v>
      </c>
      <c r="AA11" s="210">
        <f>_xll.BDP($G11&amp;" mtge",$AA$6,"ALLOW_DYNAMIC_CASHFLOW_CALCS ","Y","MTG PREPAY SPEED",$U11,"MTG PREPAY TYP",$V11)</f>
        <v>0.63</v>
      </c>
    </row>
    <row r="12" spans="2:27" s="86" customFormat="1" ht="13.5" thickBot="1">
      <c r="B12" s="132"/>
      <c r="C12" s="201" t="s">
        <v>324</v>
      </c>
      <c r="D12" s="185" t="s">
        <v>293</v>
      </c>
      <c r="E12" s="220" t="s">
        <v>297</v>
      </c>
      <c r="F12" s="186" t="s">
        <v>53</v>
      </c>
      <c r="G12" s="187" t="s">
        <v>53</v>
      </c>
      <c r="H12" s="188" t="str">
        <f>[1]!blp($G12&amp;" "&amp;"Mtge ISIN",H$8)</f>
        <v>Mtge</v>
      </c>
      <c r="I12" s="188" t="str">
        <f>[1]!blp($G12&amp;" "&amp;$H12,I$8)</f>
        <v>GNR 2007-55 C</v>
      </c>
      <c r="J12" s="188" t="str">
        <f>[1]!blp($G12&amp;" "&amp;$H12,J$8)</f>
        <v>GOVERNMENT NATIONAL MORTGAGE A</v>
      </c>
      <c r="K12" s="213">
        <v>1000000</v>
      </c>
      <c r="L12" s="188" t="str">
        <f>[1]!blp($G12&amp;" "&amp;$H12,L$8)</f>
        <v>9/1/2007</v>
      </c>
      <c r="M12" s="189" t="str">
        <f>[1]!blp($G12&amp;" "&amp;$H12,M$8)</f>
        <v>6/1/2016</v>
      </c>
      <c r="N12" s="190">
        <v>20160526</v>
      </c>
      <c r="O12" s="188">
        <f>[1]!blp($G12&amp;" "&amp;$H12,O$8)</f>
        <v>0.10070182000000001</v>
      </c>
      <c r="P12" s="188" t="str">
        <f>[1]!blp($G12&amp;" "&amp;$H12,P$8)</f>
        <v>VARIABLE</v>
      </c>
      <c r="Q12" s="188">
        <f>[1]!blp($G12&amp;" "&amp;$H12,Q$8)</f>
        <v>4.9534000000000002</v>
      </c>
      <c r="R12" s="188" t="str">
        <f>[1]!blp($G12&amp;" "&amp;$H12,R$8)</f>
        <v>6/16/2016</v>
      </c>
      <c r="S12" s="188" t="str">
        <f>[1]!blp($G12&amp;" "&amp;$H12,S$8)</f>
        <v>7/16/2016</v>
      </c>
      <c r="T12" s="188" t="str">
        <f>[1]!blp($G12&amp;" "&amp;$H12,T$8)</f>
        <v>USD</v>
      </c>
      <c r="U12" s="191">
        <f>VLOOKUP(F12,BOND_CPR_Table,3,0)</f>
        <v>30</v>
      </c>
      <c r="V12" s="191" t="str">
        <f>[1]!blp($G12&amp;" "&amp;$H12,V$8)</f>
        <v>CPJ</v>
      </c>
      <c r="W12" s="191" t="str">
        <f>[1]!blp($G12&amp;" "&amp;$H12,W$8)</f>
        <v>10/16/2039</v>
      </c>
      <c r="X12" s="192">
        <f>[1]!blp($G12&amp;" "&amp;$H12,X$6)</f>
        <v>0.53</v>
      </c>
      <c r="Y12" s="193" t="str">
        <f>[1]!blp($G12&amp;" "&amp;$H12,Y$8)</f>
        <v>15 DAYS</v>
      </c>
      <c r="Z12" s="116">
        <f>[1]!blp($G12&amp;" "&amp;$H12,Z$6)</f>
        <v>12</v>
      </c>
      <c r="AA12" s="211">
        <f>_xll.BDP($G12&amp;" mtge",$AA$6,"ALLOW_DYNAMIC_CASHFLOW_CALCS ","Y","MTG PREPAY SPEED",$U12,"MTG PREPAY TYP",$V12)</f>
        <v>0.29000000000000004</v>
      </c>
    </row>
    <row r="13" spans="2:27">
      <c r="B13" s="132"/>
      <c r="D13" s="149"/>
      <c r="E13" s="221"/>
      <c r="F13" s="132"/>
      <c r="G13" s="152"/>
      <c r="H13" s="134"/>
      <c r="I13" s="134"/>
      <c r="J13" s="134"/>
      <c r="K13" s="214"/>
      <c r="L13" s="134"/>
      <c r="M13" s="134"/>
      <c r="N13" s="139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</row>
    <row r="14" spans="2:27">
      <c r="B14" s="132"/>
      <c r="D14" s="149"/>
      <c r="E14" s="221"/>
      <c r="F14" s="132"/>
      <c r="G14" s="152"/>
      <c r="H14" s="134"/>
      <c r="I14" s="134"/>
      <c r="J14" s="134"/>
      <c r="K14" s="214"/>
      <c r="L14" s="134"/>
      <c r="M14" s="134"/>
      <c r="N14" s="139"/>
      <c r="O14" s="134"/>
      <c r="P14" s="134"/>
      <c r="Q14" s="134"/>
      <c r="R14" s="134"/>
      <c r="S14" s="134"/>
      <c r="T14" s="134"/>
      <c r="U14" s="134"/>
      <c r="V14" s="134"/>
      <c r="W14" s="134"/>
      <c r="X14" s="134"/>
      <c r="Y14" s="134"/>
    </row>
    <row r="15" spans="2:27">
      <c r="B15" s="132"/>
      <c r="D15" s="149"/>
      <c r="E15" s="221"/>
      <c r="F15" s="132"/>
      <c r="G15" s="152"/>
      <c r="H15" s="134"/>
      <c r="I15" s="134"/>
      <c r="J15" s="134"/>
      <c r="K15" s="214"/>
      <c r="L15" s="134"/>
      <c r="M15" s="134"/>
      <c r="N15" s="139"/>
      <c r="O15" s="134"/>
      <c r="P15" s="134"/>
      <c r="Q15" s="134"/>
      <c r="R15" s="134"/>
      <c r="S15" s="134"/>
      <c r="T15" s="134"/>
      <c r="U15" s="134"/>
      <c r="V15" s="134"/>
      <c r="W15" s="134"/>
      <c r="X15" s="134"/>
      <c r="Y15" s="134"/>
    </row>
    <row r="16" spans="2:27" ht="13.5" thickBot="1">
      <c r="B16" s="132"/>
      <c r="D16" s="149"/>
      <c r="E16" s="221"/>
      <c r="F16" s="132"/>
      <c r="G16" s="152"/>
      <c r="H16" s="134"/>
      <c r="I16" s="134"/>
      <c r="J16" s="134"/>
      <c r="K16" s="214"/>
      <c r="L16" s="134"/>
      <c r="M16" s="134"/>
      <c r="N16" s="139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</row>
    <row r="17" spans="2:27" s="103" customFormat="1" ht="35.25" thickBot="1">
      <c r="B17" s="118" t="s">
        <v>309</v>
      </c>
      <c r="C17" s="151" t="s">
        <v>307</v>
      </c>
      <c r="D17" s="175" t="s">
        <v>302</v>
      </c>
      <c r="E17" s="222" t="s">
        <v>300</v>
      </c>
      <c r="F17" s="177" t="s">
        <v>306</v>
      </c>
      <c r="G17" s="177" t="s">
        <v>85</v>
      </c>
      <c r="H17" s="176" t="s">
        <v>64</v>
      </c>
      <c r="I17" s="176" t="s">
        <v>43</v>
      </c>
      <c r="J17" s="176" t="s">
        <v>44</v>
      </c>
      <c r="K17" s="215" t="s">
        <v>88</v>
      </c>
      <c r="L17" s="179" t="s">
        <v>40</v>
      </c>
      <c r="M17" s="194" t="s">
        <v>55</v>
      </c>
      <c r="N17" s="194" t="s">
        <v>63</v>
      </c>
      <c r="O17" s="177" t="s">
        <v>42</v>
      </c>
      <c r="P17" s="176" t="s">
        <v>45</v>
      </c>
      <c r="Q17" s="176" t="s">
        <v>46</v>
      </c>
      <c r="R17" s="176" t="s">
        <v>47</v>
      </c>
      <c r="S17" s="176" t="s">
        <v>48</v>
      </c>
      <c r="T17" s="176" t="s">
        <v>49</v>
      </c>
      <c r="U17" s="180" t="s">
        <v>59</v>
      </c>
      <c r="V17" s="181" t="s">
        <v>60</v>
      </c>
      <c r="W17" s="181" t="s">
        <v>62</v>
      </c>
      <c r="X17" s="179" t="s">
        <v>328</v>
      </c>
      <c r="Y17" s="182" t="s">
        <v>67</v>
      </c>
      <c r="Z17" s="182" t="s">
        <v>325</v>
      </c>
      <c r="AA17" s="204" t="s">
        <v>329</v>
      </c>
    </row>
    <row r="18" spans="2:27" s="86" customFormat="1" ht="13.5" thickTop="1">
      <c r="B18" s="136" t="s">
        <v>308</v>
      </c>
      <c r="C18" s="201" t="s">
        <v>324</v>
      </c>
      <c r="D18" s="195" t="s">
        <v>304</v>
      </c>
      <c r="E18" s="219" t="s">
        <v>295</v>
      </c>
      <c r="F18" s="144" t="s">
        <v>286</v>
      </c>
      <c r="G18" s="145" t="s">
        <v>50</v>
      </c>
      <c r="H18" s="119" t="str">
        <f>[1]!blp($G18&amp;" "&amp;"Mtge ISIN",H$8)</f>
        <v>Mtge</v>
      </c>
      <c r="I18" s="119" t="str">
        <f>[1]!blp($G18&amp;" "&amp;$H18,I$8)</f>
        <v>GNR 2005-76 B</v>
      </c>
      <c r="J18" s="119" t="str">
        <f>[1]!blp($G18&amp;" "&amp;$H18,J$8)</f>
        <v>GOVERNMENT NATIONAL MORTGAGE A</v>
      </c>
      <c r="K18" s="216">
        <v>90000000</v>
      </c>
      <c r="L18" s="119" t="str">
        <f>[1]!blp($G18&amp;" "&amp;$H18,L$8)</f>
        <v>10/1/2005</v>
      </c>
      <c r="M18" s="116" t="str">
        <f>[1]!blp($G18&amp;" "&amp;$H18,M$8)</f>
        <v>6/1/2016</v>
      </c>
      <c r="N18" s="117">
        <v>20160526</v>
      </c>
      <c r="O18" s="119">
        <f>[1]!blp($G18&amp;" "&amp;$H18,O$8)</f>
        <v>4.7914699999999999E-3</v>
      </c>
      <c r="P18" s="119" t="str">
        <f>[1]!blp($G18&amp;" "&amp;$H18,P$8)</f>
        <v>VARIABLE</v>
      </c>
      <c r="Q18" s="119">
        <f>[1]!blp($G18&amp;" "&amp;$H18,Q$8)</f>
        <v>4.8860000000000001</v>
      </c>
      <c r="R18" s="119" t="str">
        <f>[1]!blp($G18&amp;" "&amp;$H18,R$8)</f>
        <v>6/16/2016</v>
      </c>
      <c r="S18" s="119" t="str">
        <f>[1]!blp($G18&amp;" "&amp;$H18,S$8)</f>
        <v>7/16/2016</v>
      </c>
      <c r="T18" s="119" t="str">
        <f>[1]!blp($G18&amp;" "&amp;$H18,T$8)</f>
        <v>USD</v>
      </c>
      <c r="U18" s="155">
        <f t="shared" ref="U18:U25" si="0">VLOOKUP(G18,BOND_CPR_Table,3,0)</f>
        <v>30</v>
      </c>
      <c r="V18" s="155" t="str">
        <f>[1]!blp($G18&amp;" "&amp;$H18,V$8)</f>
        <v>CPJ</v>
      </c>
      <c r="W18" s="155" t="str">
        <f>[1]!blp($G18&amp;" "&amp;$H18,W$8)</f>
        <v>10/16/2038</v>
      </c>
      <c r="X18" s="120">
        <f>[1]!blp($G18&amp;" "&amp;$H18,X$6)</f>
        <v>0</v>
      </c>
      <c r="Y18" s="184" t="str">
        <f>[1]!blp($G18&amp;" "&amp;$H18,Y$8)</f>
        <v>15 DAYS</v>
      </c>
      <c r="Z18" s="116">
        <f>[1]!blp($G18&amp;" "&amp;$H18,Z$6)</f>
        <v>12</v>
      </c>
      <c r="AA18" s="205">
        <f>_xll.BDP($G18&amp;" mtge",$AA$6,"ALLOW_DYNAMIC_CASHFLOW_CALCS ","Y","MTG PREPAY SPEED",$U18,"MTG PREPAY TYP",$V18)</f>
        <v>0</v>
      </c>
    </row>
    <row r="19" spans="2:27" s="86" customFormat="1">
      <c r="B19" s="136" t="s">
        <v>308</v>
      </c>
      <c r="C19" s="201" t="s">
        <v>324</v>
      </c>
      <c r="D19" s="195" t="s">
        <v>304</v>
      </c>
      <c r="E19" s="219" t="s">
        <v>295</v>
      </c>
      <c r="F19" s="144" t="s">
        <v>290</v>
      </c>
      <c r="G19" s="145" t="s">
        <v>50</v>
      </c>
      <c r="H19" s="119" t="str">
        <f>[1]!blp($G19&amp;" "&amp;"Mtge ISIN",H$8)</f>
        <v>Mtge</v>
      </c>
      <c r="I19" s="119" t="str">
        <f>[1]!blp($G19&amp;" "&amp;$H19,I$8)</f>
        <v>GNR 2005-76 B</v>
      </c>
      <c r="J19" s="119" t="str">
        <f>[1]!blp($G19&amp;" "&amp;$H19,J$8)</f>
        <v>GOVERNMENT NATIONAL MORTGAGE A</v>
      </c>
      <c r="K19" s="216">
        <v>90000000</v>
      </c>
      <c r="L19" s="119" t="str">
        <f>[1]!blp($G19&amp;" "&amp;$H19,L$8)</f>
        <v>10/1/2005</v>
      </c>
      <c r="M19" s="116" t="str">
        <f>[1]!blp($G19&amp;" "&amp;$H19,M$8)</f>
        <v>6/1/2016</v>
      </c>
      <c r="N19" s="117">
        <v>20160526</v>
      </c>
      <c r="O19" s="119">
        <f>[1]!blp($G19&amp;" "&amp;$H19,O$8)</f>
        <v>4.7914699999999999E-3</v>
      </c>
      <c r="P19" s="119" t="str">
        <f>[1]!blp($G19&amp;" "&amp;$H19,P$8)</f>
        <v>VARIABLE</v>
      </c>
      <c r="Q19" s="119">
        <f>[1]!blp($G19&amp;" "&amp;$H19,Q$8)</f>
        <v>4.8860000000000001</v>
      </c>
      <c r="R19" s="119" t="str">
        <f>[1]!blp($G19&amp;" "&amp;$H19,R$8)</f>
        <v>6/16/2016</v>
      </c>
      <c r="S19" s="119" t="str">
        <f>[1]!blp($G19&amp;" "&amp;$H19,S$8)</f>
        <v>7/16/2016</v>
      </c>
      <c r="T19" s="119" t="str">
        <f>[1]!blp($G19&amp;" "&amp;$H19,T$8)</f>
        <v>USD</v>
      </c>
      <c r="U19" s="155">
        <f t="shared" si="0"/>
        <v>30</v>
      </c>
      <c r="V19" s="155" t="str">
        <f>[1]!blp($G19&amp;" "&amp;$H19,V$8)</f>
        <v>CPJ</v>
      </c>
      <c r="W19" s="155" t="str">
        <f>[1]!blp($G19&amp;" "&amp;$H19,W$8)</f>
        <v>10/16/2038</v>
      </c>
      <c r="X19" s="120">
        <f>[1]!blp($G19&amp;" "&amp;$H19,X$6)</f>
        <v>0</v>
      </c>
      <c r="Y19" s="184" t="str">
        <f>[1]!blp($G19&amp;" "&amp;$H19,Y$8)</f>
        <v>15 DAYS</v>
      </c>
      <c r="Z19" s="116">
        <f>[1]!blp($G19&amp;" "&amp;$H19,Z$6)</f>
        <v>12</v>
      </c>
      <c r="AA19" s="206">
        <f>_xll.BDP($G19&amp;" mtge",$AA$6,"ALLOW_DYNAMIC_CASHFLOW_CALCS ","Y","MTG PREPAY SPEED",$U19,"MTG PREPAY TYP",$V19)</f>
        <v>0</v>
      </c>
    </row>
    <row r="20" spans="2:27" s="86" customFormat="1">
      <c r="B20" s="136" t="s">
        <v>308</v>
      </c>
      <c r="C20" s="201" t="s">
        <v>324</v>
      </c>
      <c r="D20" s="195" t="s">
        <v>304</v>
      </c>
      <c r="E20" s="219" t="s">
        <v>296</v>
      </c>
      <c r="F20" s="143" t="s">
        <v>287</v>
      </c>
      <c r="G20" s="146" t="s">
        <v>51</v>
      </c>
      <c r="H20" s="119" t="str">
        <f>[1]!blp($G20&amp;" "&amp;"Mtge ISIN",H$8)</f>
        <v>Mtge</v>
      </c>
      <c r="I20" s="119" t="str">
        <f>[1]!blp($G20&amp;" "&amp;$H20,I$8)</f>
        <v>GNR 2005-90 B</v>
      </c>
      <c r="J20" s="119" t="str">
        <f>[1]!blp($G20&amp;" "&amp;$H20,J$8)</f>
        <v>GOVERNMENT NATIONAL MORTGAGE A</v>
      </c>
      <c r="K20" s="216">
        <v>80000000</v>
      </c>
      <c r="L20" s="119" t="str">
        <f>[1]!blp($G20&amp;" "&amp;$H20,L$8)</f>
        <v>12/1/2005</v>
      </c>
      <c r="M20" s="116" t="str">
        <f>[1]!blp($G20&amp;" "&amp;$H20,M$8)</f>
        <v>6/1/2016</v>
      </c>
      <c r="N20" s="117">
        <v>20160526</v>
      </c>
      <c r="O20" s="119">
        <f>[1]!blp($G20&amp;" "&amp;$H20,O$8)</f>
        <v>4.6813410000000007E-2</v>
      </c>
      <c r="P20" s="119" t="str">
        <f>[1]!blp($G20&amp;" "&amp;$H20,P$8)</f>
        <v>VARIABLE</v>
      </c>
      <c r="Q20" s="119">
        <f>[1]!blp($G20&amp;" "&amp;$H20,Q$8)</f>
        <v>4.7279999999999998</v>
      </c>
      <c r="R20" s="119" t="str">
        <f>[1]!blp($G20&amp;" "&amp;$H20,R$8)</f>
        <v>6/16/2016</v>
      </c>
      <c r="S20" s="119" t="str">
        <f>[1]!blp($G20&amp;" "&amp;$H20,S$8)</f>
        <v>7/16/2016</v>
      </c>
      <c r="T20" s="119" t="str">
        <f>[1]!blp($G20&amp;" "&amp;$H20,T$8)</f>
        <v>USD</v>
      </c>
      <c r="U20" s="155">
        <f t="shared" si="0"/>
        <v>30</v>
      </c>
      <c r="V20" s="155" t="str">
        <f>[1]!blp($G20&amp;" "&amp;$H20,V$8)</f>
        <v>CPJ</v>
      </c>
      <c r="W20" s="155" t="str">
        <f>[1]!blp($G20&amp;" "&amp;$H20,W$8)</f>
        <v>8/16/2035</v>
      </c>
      <c r="X20" s="120">
        <f>[1]!blp($G20&amp;" "&amp;$H20,X$6)</f>
        <v>0.25</v>
      </c>
      <c r="Y20" s="184" t="str">
        <f>[1]!blp($G20&amp;" "&amp;$H20,Y$8)</f>
        <v>15 DAYS</v>
      </c>
      <c r="Z20" s="116">
        <f>[1]!blp($G20&amp;" "&amp;$H20,Z$6)</f>
        <v>12</v>
      </c>
      <c r="AA20" s="206">
        <f>_xll.BDP($G20&amp;" mtge",$AA$6,"ALLOW_DYNAMIC_CASHFLOW_CALCS ","Y","MTG PREPAY SPEED",$U20,"MTG PREPAY TYP",$V20)</f>
        <v>0.16</v>
      </c>
    </row>
    <row r="21" spans="2:27" s="86" customFormat="1">
      <c r="B21" s="136" t="s">
        <v>308</v>
      </c>
      <c r="C21" s="201" t="s">
        <v>324</v>
      </c>
      <c r="D21" s="195" t="s">
        <v>304</v>
      </c>
      <c r="E21" s="219" t="s">
        <v>296</v>
      </c>
      <c r="F21" s="143" t="s">
        <v>291</v>
      </c>
      <c r="G21" s="146" t="s">
        <v>51</v>
      </c>
      <c r="H21" s="119" t="str">
        <f>[1]!blp($G21&amp;" "&amp;"Mtge ISIN",H$8)</f>
        <v>Mtge</v>
      </c>
      <c r="I21" s="119" t="str">
        <f>[1]!blp($G21&amp;" "&amp;$H21,I$8)</f>
        <v>GNR 2005-90 B</v>
      </c>
      <c r="J21" s="119" t="str">
        <f>[1]!blp($G21&amp;" "&amp;$H21,J$8)</f>
        <v>GOVERNMENT NATIONAL MORTGAGE A</v>
      </c>
      <c r="K21" s="216">
        <v>80000000</v>
      </c>
      <c r="L21" s="119" t="str">
        <f>[1]!blp($G21&amp;" "&amp;$H21,L$8)</f>
        <v>12/1/2005</v>
      </c>
      <c r="M21" s="116" t="str">
        <f>[1]!blp($G21&amp;" "&amp;$H21,M$8)</f>
        <v>6/1/2016</v>
      </c>
      <c r="N21" s="117">
        <v>20160526</v>
      </c>
      <c r="O21" s="119">
        <f>[1]!blp($G21&amp;" "&amp;$H21,O$8)</f>
        <v>4.6813410000000007E-2</v>
      </c>
      <c r="P21" s="119" t="str">
        <f>[1]!blp($G21&amp;" "&amp;$H21,P$8)</f>
        <v>VARIABLE</v>
      </c>
      <c r="Q21" s="119">
        <f>[1]!blp($G21&amp;" "&amp;$H21,Q$8)</f>
        <v>4.7279999999999998</v>
      </c>
      <c r="R21" s="119" t="str">
        <f>[1]!blp($G21&amp;" "&amp;$H21,R$8)</f>
        <v>6/16/2016</v>
      </c>
      <c r="S21" s="119" t="str">
        <f>[1]!blp($G21&amp;" "&amp;$H21,S$8)</f>
        <v>7/16/2016</v>
      </c>
      <c r="T21" s="119" t="str">
        <f>[1]!blp($G21&amp;" "&amp;$H21,T$8)</f>
        <v>USD</v>
      </c>
      <c r="U21" s="155">
        <f t="shared" si="0"/>
        <v>30</v>
      </c>
      <c r="V21" s="155" t="str">
        <f>[1]!blp($G21&amp;" "&amp;$H21,V$8)</f>
        <v>CPJ</v>
      </c>
      <c r="W21" s="155" t="str">
        <f>[1]!blp($G21&amp;" "&amp;$H21,W$8)</f>
        <v>8/16/2035</v>
      </c>
      <c r="X21" s="120">
        <f>[1]!blp($G21&amp;" "&amp;$H21,X$6)</f>
        <v>0.25</v>
      </c>
      <c r="Y21" s="184" t="str">
        <f>[1]!blp($G21&amp;" "&amp;$H21,Y$8)</f>
        <v>15 DAYS</v>
      </c>
      <c r="Z21" s="116">
        <f>[1]!blp($G21&amp;" "&amp;$H21,Z$6)</f>
        <v>12</v>
      </c>
      <c r="AA21" s="206">
        <f>_xll.BDP($G21&amp;" mtge",$AA$6,"ALLOW_DYNAMIC_CASHFLOW_CALCS ","Y","MTG PREPAY SPEED",$U21,"MTG PREPAY TYP",$V21)</f>
        <v>0.16</v>
      </c>
    </row>
    <row r="22" spans="2:27" s="86" customFormat="1">
      <c r="B22" s="136" t="s">
        <v>308</v>
      </c>
      <c r="C22" s="201" t="s">
        <v>324</v>
      </c>
      <c r="D22" s="195" t="s">
        <v>304</v>
      </c>
      <c r="E22" s="219" t="s">
        <v>298</v>
      </c>
      <c r="F22" s="148" t="s">
        <v>294</v>
      </c>
      <c r="G22" s="148" t="s">
        <v>52</v>
      </c>
      <c r="H22" s="119" t="str">
        <f>[1]!blp($G22&amp;" "&amp;"Mtge ISIN",H$8)</f>
        <v>Mtge</v>
      </c>
      <c r="I22" s="119" t="str">
        <f>[1]!blp($G22&amp;" "&amp;$H22,I$8)</f>
        <v>GNR 2007-34 C</v>
      </c>
      <c r="J22" s="119" t="str">
        <f>[1]!blp($G22&amp;" "&amp;$H22,J$8)</f>
        <v>GOVERNMENT NATIONAL MORTGAGE A</v>
      </c>
      <c r="K22" s="216">
        <v>80000000</v>
      </c>
      <c r="L22" s="119" t="str">
        <f>[1]!blp($G22&amp;" "&amp;$H22,L$8)</f>
        <v>6/1/2007</v>
      </c>
      <c r="M22" s="116" t="str">
        <f>[1]!blp($G22&amp;" "&amp;$H22,M$8)</f>
        <v>6/1/2016</v>
      </c>
      <c r="N22" s="117">
        <v>20160526</v>
      </c>
      <c r="O22" s="119">
        <f>[1]!blp($G22&amp;" "&amp;$H22,O$8)</f>
        <v>0.20053151999999999</v>
      </c>
      <c r="P22" s="119" t="str">
        <f>[1]!blp($G22&amp;" "&amp;$H22,P$8)</f>
        <v>VARIABLE</v>
      </c>
      <c r="Q22" s="119">
        <f>[1]!blp($G22&amp;" "&amp;$H22,Q$8)</f>
        <v>5.03</v>
      </c>
      <c r="R22" s="119" t="str">
        <f>[1]!blp($G22&amp;" "&amp;$H22,R$8)</f>
        <v>6/16/2016</v>
      </c>
      <c r="S22" s="119" t="str">
        <f>[1]!blp($G22&amp;" "&amp;$H22,S$8)</f>
        <v>7/16/2016</v>
      </c>
      <c r="T22" s="119" t="str">
        <f>[1]!blp($G22&amp;" "&amp;$H22,T$8)</f>
        <v>USD</v>
      </c>
      <c r="U22" s="155">
        <f t="shared" si="0"/>
        <v>30</v>
      </c>
      <c r="V22" s="155" t="str">
        <f>[1]!blp($G22&amp;" "&amp;$H22,V$8)</f>
        <v>CPJ</v>
      </c>
      <c r="W22" s="155" t="str">
        <f>[1]!blp($G22&amp;" "&amp;$H22,W$8)</f>
        <v>2/16/2040</v>
      </c>
      <c r="X22" s="120">
        <f>[1]!blp($G22&amp;" "&amp;$H22,X$6)</f>
        <v>1.2</v>
      </c>
      <c r="Y22" s="184" t="str">
        <f>[1]!blp($G22&amp;" "&amp;$H22,Y$8)</f>
        <v>15 DAYS</v>
      </c>
      <c r="Z22" s="116">
        <f>[1]!blp($G22&amp;" "&amp;$H22,Z$6)</f>
        <v>12</v>
      </c>
      <c r="AA22" s="206">
        <f>_xll.BDP($G22&amp;" mtge",$AA$6,"ALLOW_DYNAMIC_CASHFLOW_CALCS ","Y","MTG PREPAY SPEED",$U22,"MTG PREPAY TYP",$V22)</f>
        <v>0.63</v>
      </c>
    </row>
    <row r="23" spans="2:27" s="86" customFormat="1">
      <c r="B23" s="136" t="s">
        <v>308</v>
      </c>
      <c r="C23" s="201" t="s">
        <v>324</v>
      </c>
      <c r="D23" s="195" t="s">
        <v>304</v>
      </c>
      <c r="E23" s="219" t="s">
        <v>298</v>
      </c>
      <c r="F23" s="148" t="s">
        <v>289</v>
      </c>
      <c r="G23" s="148" t="s">
        <v>52</v>
      </c>
      <c r="H23" s="119" t="str">
        <f>[1]!blp($G23&amp;" "&amp;"Mtge ISIN",H$8)</f>
        <v>Mtge</v>
      </c>
      <c r="I23" s="119" t="str">
        <f>[1]!blp($G23&amp;" "&amp;$H23,I$8)</f>
        <v>GNR 2007-34 C</v>
      </c>
      <c r="J23" s="119" t="str">
        <f>[1]!blp($G23&amp;" "&amp;$H23,J$8)</f>
        <v>GOVERNMENT NATIONAL MORTGAGE A</v>
      </c>
      <c r="K23" s="216">
        <v>80000000</v>
      </c>
      <c r="L23" s="119" t="str">
        <f>[1]!blp($G23&amp;" "&amp;$H23,L$8)</f>
        <v>6/1/2007</v>
      </c>
      <c r="M23" s="116" t="str">
        <f>[1]!blp($G23&amp;" "&amp;$H23,M$8)</f>
        <v>6/1/2016</v>
      </c>
      <c r="N23" s="117">
        <v>20160526</v>
      </c>
      <c r="O23" s="119">
        <f>[1]!blp($G23&amp;" "&amp;$H23,O$8)</f>
        <v>0.20053151999999999</v>
      </c>
      <c r="P23" s="119" t="str">
        <f>[1]!blp($G23&amp;" "&amp;$H23,P$8)</f>
        <v>VARIABLE</v>
      </c>
      <c r="Q23" s="119">
        <f>[1]!blp($G23&amp;" "&amp;$H23,Q$8)</f>
        <v>5.03</v>
      </c>
      <c r="R23" s="119" t="str">
        <f>[1]!blp($G23&amp;" "&amp;$H23,R$8)</f>
        <v>6/16/2016</v>
      </c>
      <c r="S23" s="119" t="str">
        <f>[1]!blp($G23&amp;" "&amp;$H23,S$8)</f>
        <v>7/16/2016</v>
      </c>
      <c r="T23" s="119" t="str">
        <f>[1]!blp($G23&amp;" "&amp;$H23,T$8)</f>
        <v>USD</v>
      </c>
      <c r="U23" s="155">
        <f t="shared" si="0"/>
        <v>30</v>
      </c>
      <c r="V23" s="155" t="str">
        <f>[1]!blp($G23&amp;" "&amp;$H23,V$8)</f>
        <v>CPJ</v>
      </c>
      <c r="W23" s="155" t="str">
        <f>[1]!blp($G23&amp;" "&amp;$H23,W$8)</f>
        <v>2/16/2040</v>
      </c>
      <c r="X23" s="120">
        <f>[1]!blp($G23&amp;" "&amp;$H23,X$6)</f>
        <v>1.2</v>
      </c>
      <c r="Y23" s="184" t="str">
        <f>[1]!blp($G23&amp;" "&amp;$H23,Y$8)</f>
        <v>15 DAYS</v>
      </c>
      <c r="Z23" s="116">
        <f>[1]!blp($G23&amp;" "&amp;$H23,Z$6)</f>
        <v>12</v>
      </c>
      <c r="AA23" s="206">
        <f>_xll.BDP($G23&amp;" mtge",$AA$6,"ALLOW_DYNAMIC_CASHFLOW_CALCS ","Y","MTG PREPAY SPEED",$U23,"MTG PREPAY TYP",$V23)</f>
        <v>0.63</v>
      </c>
    </row>
    <row r="24" spans="2:27" s="86" customFormat="1">
      <c r="B24" s="136" t="s">
        <v>308</v>
      </c>
      <c r="C24" s="201" t="s">
        <v>324</v>
      </c>
      <c r="D24" s="195" t="s">
        <v>304</v>
      </c>
      <c r="E24" s="219" t="s">
        <v>297</v>
      </c>
      <c r="F24" s="147" t="s">
        <v>288</v>
      </c>
      <c r="G24" s="147" t="s">
        <v>53</v>
      </c>
      <c r="H24" s="119" t="str">
        <f>[1]!blp($G24&amp;" "&amp;"Mtge ISIN",H$8)</f>
        <v>Mtge</v>
      </c>
      <c r="I24" s="119" t="str">
        <f>[1]!blp($G24&amp;" "&amp;$H24,I$8)</f>
        <v>GNR 2007-55 C</v>
      </c>
      <c r="J24" s="119" t="str">
        <f>[1]!blp($G24&amp;" "&amp;$H24,J$8)</f>
        <v>GOVERNMENT NATIONAL MORTGAGE A</v>
      </c>
      <c r="K24" s="216">
        <v>75000000</v>
      </c>
      <c r="L24" s="119" t="str">
        <f>[1]!blp($G24&amp;" "&amp;$H24,L$8)</f>
        <v>9/1/2007</v>
      </c>
      <c r="M24" s="116" t="str">
        <f>[1]!blp($G24&amp;" "&amp;$H24,M$8)</f>
        <v>6/1/2016</v>
      </c>
      <c r="N24" s="117">
        <v>20160526</v>
      </c>
      <c r="O24" s="119">
        <f>[1]!blp($G24&amp;" "&amp;$H24,O$8)</f>
        <v>0.10070182000000001</v>
      </c>
      <c r="P24" s="119" t="str">
        <f>[1]!blp($G24&amp;" "&amp;$H24,P$8)</f>
        <v>VARIABLE</v>
      </c>
      <c r="Q24" s="119">
        <f>[1]!blp($G24&amp;" "&amp;$H24,Q$8)</f>
        <v>4.9534000000000002</v>
      </c>
      <c r="R24" s="119" t="str">
        <f>[1]!blp($G24&amp;" "&amp;$H24,R$8)</f>
        <v>6/16/2016</v>
      </c>
      <c r="S24" s="119" t="str">
        <f>[1]!blp($G24&amp;" "&amp;$H24,S$8)</f>
        <v>7/16/2016</v>
      </c>
      <c r="T24" s="119" t="str">
        <f>[1]!blp($G24&amp;" "&amp;$H24,T$8)</f>
        <v>USD</v>
      </c>
      <c r="U24" s="155">
        <f t="shared" si="0"/>
        <v>30</v>
      </c>
      <c r="V24" s="155" t="str">
        <f>[1]!blp($G24&amp;" "&amp;$H24,V$8)</f>
        <v>CPJ</v>
      </c>
      <c r="W24" s="155" t="str">
        <f>[1]!blp($G24&amp;" "&amp;$H24,W$8)</f>
        <v>10/16/2039</v>
      </c>
      <c r="X24" s="120">
        <f>[1]!blp($G24&amp;" "&amp;$H24,X$6)</f>
        <v>0.53</v>
      </c>
      <c r="Y24" s="184" t="str">
        <f>[1]!blp($G24&amp;" "&amp;$H24,Y$8)</f>
        <v>15 DAYS</v>
      </c>
      <c r="Z24" s="116">
        <f>[1]!blp($G24&amp;" "&amp;$H24,Z$6)</f>
        <v>12</v>
      </c>
      <c r="AA24" s="206">
        <f>_xll.BDP($G24&amp;" mtge",$AA$6,"ALLOW_DYNAMIC_CASHFLOW_CALCS ","Y","MTG PREPAY SPEED",$U24,"MTG PREPAY TYP",$V24)</f>
        <v>0.29000000000000004</v>
      </c>
    </row>
    <row r="25" spans="2:27" s="86" customFormat="1" ht="13.5" thickBot="1">
      <c r="B25" s="136" t="s">
        <v>308</v>
      </c>
      <c r="C25" s="201" t="s">
        <v>324</v>
      </c>
      <c r="D25" s="196" t="s">
        <v>304</v>
      </c>
      <c r="E25" s="220" t="s">
        <v>297</v>
      </c>
      <c r="F25" s="197" t="s">
        <v>292</v>
      </c>
      <c r="G25" s="197" t="s">
        <v>53</v>
      </c>
      <c r="H25" s="188" t="str">
        <f>[1]!blp($G25&amp;" "&amp;"Mtge ISIN",H$8)</f>
        <v>Mtge</v>
      </c>
      <c r="I25" s="188" t="str">
        <f>[1]!blp($G25&amp;" "&amp;$H25,I$8)</f>
        <v>GNR 2007-55 C</v>
      </c>
      <c r="J25" s="188" t="str">
        <f>[1]!blp($G25&amp;" "&amp;$H25,J$8)</f>
        <v>GOVERNMENT NATIONAL MORTGAGE A</v>
      </c>
      <c r="K25" s="217">
        <v>75000000</v>
      </c>
      <c r="L25" s="188" t="str">
        <f>[1]!blp($G25&amp;" "&amp;$H25,L$8)</f>
        <v>9/1/2007</v>
      </c>
      <c r="M25" s="189" t="str">
        <f>[1]!blp($G25&amp;" "&amp;$H25,M$8)</f>
        <v>6/1/2016</v>
      </c>
      <c r="N25" s="190">
        <v>20160526</v>
      </c>
      <c r="O25" s="188">
        <f>[1]!blp($G25&amp;" "&amp;$H25,O$8)</f>
        <v>0.10070182000000001</v>
      </c>
      <c r="P25" s="188" t="str">
        <f>[1]!blp($G25&amp;" "&amp;$H25,P$8)</f>
        <v>VARIABLE</v>
      </c>
      <c r="Q25" s="188">
        <f>[1]!blp($G25&amp;" "&amp;$H25,Q$8)</f>
        <v>4.9534000000000002</v>
      </c>
      <c r="R25" s="188" t="str">
        <f>[1]!blp($G25&amp;" "&amp;$H25,R$8)</f>
        <v>6/16/2016</v>
      </c>
      <c r="S25" s="188" t="str">
        <f>[1]!blp($G25&amp;" "&amp;$H25,S$8)</f>
        <v>7/16/2016</v>
      </c>
      <c r="T25" s="188" t="str">
        <f>[1]!blp($G25&amp;" "&amp;$H25,T$8)</f>
        <v>USD</v>
      </c>
      <c r="U25" s="191">
        <f t="shared" si="0"/>
        <v>30</v>
      </c>
      <c r="V25" s="191" t="str">
        <f>[1]!blp($G25&amp;" "&amp;$H25,V$8)</f>
        <v>CPJ</v>
      </c>
      <c r="W25" s="191" t="str">
        <f>[1]!blp($G25&amp;" "&amp;$H25,W$8)</f>
        <v>10/16/2039</v>
      </c>
      <c r="X25" s="192">
        <f>[1]!blp($G25&amp;" "&amp;$H25,X$6)</f>
        <v>0.53</v>
      </c>
      <c r="Y25" s="193" t="str">
        <f>[1]!blp($G25&amp;" "&amp;$H25,Y$8)</f>
        <v>15 DAYS</v>
      </c>
      <c r="Z25" s="189">
        <f>[1]!blp($G25&amp;" "&amp;$H25,Z$6)</f>
        <v>12</v>
      </c>
      <c r="AA25" s="207">
        <f>_xll.BDP($G25&amp;" mtge",$AA$6,"ALLOW_DYNAMIC_CASHFLOW_CALCS ","Y","MTG PREPAY SPEED",$U25,"MTG PREPAY TYP",$V25)</f>
        <v>0.29000000000000004</v>
      </c>
    </row>
    <row r="26" spans="2:27">
      <c r="G26" s="134"/>
      <c r="H26" s="134"/>
      <c r="I26" s="134"/>
      <c r="J26" s="134"/>
      <c r="K26" s="135"/>
      <c r="L26" s="134"/>
      <c r="M26" s="134"/>
      <c r="N26" s="139"/>
      <c r="O26" s="134"/>
      <c r="P26" s="134"/>
      <c r="Q26" s="134"/>
      <c r="R26" s="134"/>
      <c r="S26" s="134"/>
      <c r="T26" s="134"/>
      <c r="U26" s="134"/>
      <c r="V26" s="134"/>
      <c r="W26" s="134"/>
      <c r="X26" s="134"/>
      <c r="Y26" s="134"/>
    </row>
    <row r="27" spans="2:27">
      <c r="J27" s="137"/>
      <c r="K27" s="154"/>
      <c r="N27" s="140"/>
      <c r="O27" s="141"/>
      <c r="P27" s="142"/>
    </row>
    <row r="28" spans="2:27">
      <c r="J28" s="137"/>
      <c r="K28" s="138"/>
      <c r="N28" s="140"/>
      <c r="O28" s="141"/>
      <c r="P28" s="142"/>
    </row>
    <row r="29" spans="2:27">
      <c r="J29" s="137"/>
      <c r="K29" s="138"/>
      <c r="N29" s="140"/>
      <c r="O29" s="141"/>
      <c r="P29" s="142"/>
    </row>
    <row r="30" spans="2:27">
      <c r="N30" s="140"/>
      <c r="O30" s="141"/>
      <c r="P30" s="142"/>
    </row>
    <row r="31" spans="2:27">
      <c r="N31" s="140"/>
      <c r="O31" s="141"/>
      <c r="P31" s="142"/>
    </row>
    <row r="32" spans="2:27">
      <c r="N32" s="140"/>
      <c r="O32" s="141"/>
      <c r="P32" s="142"/>
    </row>
    <row r="33" spans="14:16">
      <c r="N33" s="140"/>
      <c r="O33" s="141"/>
      <c r="P33" s="142"/>
    </row>
    <row r="34" spans="14:16">
      <c r="N34" s="140"/>
      <c r="O34" s="141"/>
      <c r="P34" s="142"/>
    </row>
    <row r="35" spans="14:16">
      <c r="N35" s="140"/>
      <c r="O35" s="141"/>
      <c r="P35" s="142"/>
    </row>
    <row r="36" spans="14:16">
      <c r="N36" s="140"/>
      <c r="O36" s="141"/>
      <c r="P36" s="142"/>
    </row>
    <row r="37" spans="14:16">
      <c r="N37" s="140"/>
      <c r="O37" s="141"/>
      <c r="P37" s="142"/>
    </row>
    <row r="38" spans="14:16">
      <c r="N38" s="140"/>
      <c r="O38" s="141"/>
      <c r="P38" s="142"/>
    </row>
    <row r="39" spans="14:16">
      <c r="N39" s="140"/>
      <c r="O39" s="141"/>
      <c r="P39" s="142"/>
    </row>
    <row r="40" spans="14:16">
      <c r="N40" s="140"/>
      <c r="O40" s="141"/>
      <c r="P40" s="142"/>
    </row>
    <row r="41" spans="14:16">
      <c r="N41" s="140"/>
      <c r="O41" s="141"/>
      <c r="P41" s="142"/>
    </row>
    <row r="42" spans="14:16">
      <c r="N42" s="140"/>
      <c r="O42" s="141"/>
      <c r="P42" s="142"/>
    </row>
    <row r="43" spans="14:16">
      <c r="N43" s="140"/>
      <c r="O43" s="141"/>
      <c r="P43" s="142"/>
    </row>
    <row r="44" spans="14:16">
      <c r="N44" s="140"/>
      <c r="O44" s="141"/>
      <c r="P44" s="142"/>
    </row>
    <row r="45" spans="14:16">
      <c r="N45" s="140"/>
      <c r="O45" s="141"/>
      <c r="P45" s="142"/>
    </row>
    <row r="46" spans="14:16">
      <c r="N46" s="140"/>
      <c r="O46" s="141"/>
      <c r="P46" s="142"/>
    </row>
    <row r="47" spans="14:16">
      <c r="N47" s="140"/>
      <c r="O47" s="141"/>
      <c r="P47" s="142"/>
    </row>
    <row r="48" spans="14:16">
      <c r="N48" s="140"/>
      <c r="O48" s="141"/>
      <c r="P48" s="142"/>
    </row>
    <row r="49" spans="14:16">
      <c r="N49" s="140"/>
      <c r="O49" s="141"/>
      <c r="P49" s="142"/>
    </row>
    <row r="50" spans="14:16">
      <c r="N50" s="140"/>
      <c r="O50" s="141"/>
      <c r="P50" s="142"/>
    </row>
    <row r="51" spans="14:16">
      <c r="N51" s="140"/>
      <c r="O51" s="141"/>
      <c r="P51" s="142"/>
    </row>
    <row r="52" spans="14:16">
      <c r="N52" s="140"/>
      <c r="O52" s="141"/>
      <c r="P52" s="142"/>
    </row>
  </sheetData>
  <dataConsolidate/>
  <phoneticPr fontId="22" type="noConversion"/>
  <pageMargins left="0.7" right="0.7" top="0.75" bottom="0.75" header="0.3" footer="0.3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rgb="FF00B050"/>
  </sheetPr>
  <dimension ref="A1:F1683"/>
  <sheetViews>
    <sheetView workbookViewId="0">
      <selection sqref="A1:A4"/>
    </sheetView>
  </sheetViews>
  <sheetFormatPr defaultRowHeight="12.75"/>
  <cols>
    <col min="1" max="1" width="16.140625" style="2" customWidth="1"/>
    <col min="2" max="2" width="12.5703125" bestFit="1" customWidth="1"/>
    <col min="4" max="4" width="9.7109375" bestFit="1" customWidth="1"/>
    <col min="5" max="5" width="11.5703125" bestFit="1" customWidth="1"/>
    <col min="6" max="6" width="12.7109375" bestFit="1" customWidth="1"/>
  </cols>
  <sheetData>
    <row r="1" spans="1:6">
      <c r="A1" s="202" t="s">
        <v>50</v>
      </c>
      <c r="B1" s="224"/>
      <c r="D1" s="105"/>
      <c r="E1" s="105"/>
      <c r="F1" s="105"/>
    </row>
    <row r="2" spans="1:6">
      <c r="A2" s="203" t="s">
        <v>51</v>
      </c>
      <c r="B2" s="224"/>
      <c r="D2" s="105"/>
      <c r="E2" s="105"/>
      <c r="F2" s="105"/>
    </row>
    <row r="3" spans="1:6">
      <c r="A3" t="s">
        <v>52</v>
      </c>
      <c r="B3" s="224"/>
      <c r="D3" s="105"/>
      <c r="E3" s="105"/>
      <c r="F3" s="105"/>
    </row>
    <row r="4" spans="1:6">
      <c r="A4" t="s">
        <v>53</v>
      </c>
      <c r="B4" s="224"/>
      <c r="D4" s="105"/>
      <c r="E4" s="105"/>
      <c r="F4" s="105"/>
    </row>
    <row r="5" spans="1:6">
      <c r="A5"/>
      <c r="B5" s="224"/>
      <c r="D5" s="105"/>
      <c r="E5" s="105"/>
      <c r="F5" s="105"/>
    </row>
    <row r="6" spans="1:6">
      <c r="A6"/>
      <c r="B6" s="224"/>
      <c r="D6" s="105"/>
      <c r="E6" s="105"/>
      <c r="F6" s="105"/>
    </row>
    <row r="7" spans="1:6">
      <c r="A7"/>
      <c r="B7" s="224"/>
      <c r="D7" s="105"/>
      <c r="E7" s="105"/>
      <c r="F7" s="105"/>
    </row>
    <row r="8" spans="1:6">
      <c r="A8"/>
      <c r="B8" s="224"/>
      <c r="D8" s="105"/>
      <c r="E8" s="105"/>
      <c r="F8" s="105"/>
    </row>
    <row r="9" spans="1:6">
      <c r="A9"/>
      <c r="B9" s="224"/>
      <c r="D9" s="105"/>
      <c r="E9" s="105"/>
      <c r="F9" s="105"/>
    </row>
    <row r="10" spans="1:6">
      <c r="A10"/>
      <c r="B10" s="224"/>
      <c r="D10" s="105"/>
      <c r="E10" s="105"/>
      <c r="F10" s="105"/>
    </row>
    <row r="11" spans="1:6">
      <c r="A11"/>
      <c r="B11" s="224"/>
      <c r="D11" s="105"/>
      <c r="E11" s="105"/>
      <c r="F11" s="105"/>
    </row>
    <row r="12" spans="1:6">
      <c r="A12"/>
      <c r="B12" s="224"/>
      <c r="D12" s="105"/>
      <c r="E12" s="105"/>
      <c r="F12" s="105"/>
    </row>
    <row r="13" spans="1:6">
      <c r="A13"/>
      <c r="B13" s="224"/>
      <c r="D13" s="105"/>
      <c r="E13" s="105"/>
      <c r="F13" s="105"/>
    </row>
    <row r="14" spans="1:6">
      <c r="A14"/>
      <c r="B14" s="224"/>
      <c r="D14" s="105"/>
      <c r="E14" s="105"/>
      <c r="F14" s="105"/>
    </row>
    <row r="15" spans="1:6">
      <c r="A15"/>
      <c r="B15" s="224"/>
      <c r="D15" s="105"/>
      <c r="E15" s="105"/>
      <c r="F15" s="105"/>
    </row>
    <row r="16" spans="1:6">
      <c r="A16"/>
      <c r="B16" s="224"/>
      <c r="D16" s="105"/>
      <c r="E16" s="105"/>
      <c r="F16" s="105"/>
    </row>
    <row r="17" spans="1:6">
      <c r="A17"/>
      <c r="B17" s="224"/>
      <c r="D17" s="105"/>
      <c r="E17" s="105"/>
      <c r="F17" s="105"/>
    </row>
    <row r="18" spans="1:6">
      <c r="A18"/>
      <c r="B18" s="224"/>
      <c r="D18" s="105"/>
      <c r="E18" s="105"/>
      <c r="F18" s="105"/>
    </row>
    <row r="19" spans="1:6">
      <c r="A19"/>
      <c r="B19" s="224"/>
      <c r="D19" s="105"/>
      <c r="E19" s="105"/>
      <c r="F19" s="105"/>
    </row>
    <row r="20" spans="1:6">
      <c r="A20"/>
      <c r="B20" s="224"/>
      <c r="D20" s="105"/>
      <c r="E20" s="105"/>
      <c r="F20" s="105"/>
    </row>
    <row r="21" spans="1:6">
      <c r="A21"/>
      <c r="B21" s="224"/>
      <c r="D21" s="105"/>
      <c r="E21" s="105"/>
      <c r="F21" s="105"/>
    </row>
    <row r="22" spans="1:6">
      <c r="A22"/>
      <c r="B22" s="224"/>
      <c r="D22" s="105"/>
      <c r="E22" s="105"/>
      <c r="F22" s="105"/>
    </row>
    <row r="23" spans="1:6">
      <c r="A23"/>
      <c r="B23" s="224"/>
      <c r="D23" s="105"/>
      <c r="E23" s="105"/>
      <c r="F23" s="105"/>
    </row>
    <row r="24" spans="1:6">
      <c r="A24"/>
      <c r="B24" s="224"/>
      <c r="D24" s="105"/>
      <c r="E24" s="105"/>
      <c r="F24" s="105"/>
    </row>
    <row r="25" spans="1:6">
      <c r="A25"/>
      <c r="B25" s="224"/>
      <c r="D25" s="105"/>
      <c r="E25" s="105"/>
      <c r="F25" s="105"/>
    </row>
    <row r="26" spans="1:6">
      <c r="A26"/>
      <c r="B26" s="224"/>
      <c r="D26" s="105"/>
      <c r="E26" s="105"/>
      <c r="F26" s="105"/>
    </row>
    <row r="27" spans="1:6">
      <c r="A27"/>
      <c r="B27" s="224"/>
      <c r="D27" s="105"/>
      <c r="E27" s="105"/>
      <c r="F27" s="105"/>
    </row>
    <row r="28" spans="1:6">
      <c r="A28"/>
      <c r="B28" s="224"/>
      <c r="D28" s="105"/>
      <c r="E28" s="105"/>
      <c r="F28" s="105"/>
    </row>
    <row r="29" spans="1:6">
      <c r="A29"/>
      <c r="B29" s="224"/>
      <c r="D29" s="105"/>
      <c r="E29" s="105"/>
      <c r="F29" s="105"/>
    </row>
    <row r="30" spans="1:6">
      <c r="A30"/>
      <c r="B30" s="224"/>
      <c r="D30" s="105"/>
      <c r="E30" s="105"/>
      <c r="F30" s="105"/>
    </row>
    <row r="31" spans="1:6">
      <c r="A31"/>
      <c r="B31" s="224"/>
      <c r="D31" s="105"/>
      <c r="E31" s="105"/>
      <c r="F31" s="105"/>
    </row>
    <row r="32" spans="1:6">
      <c r="A32"/>
      <c r="B32" s="224"/>
      <c r="D32" s="105"/>
      <c r="E32" s="105"/>
      <c r="F32" s="105"/>
    </row>
    <row r="33" spans="1:6">
      <c r="A33"/>
      <c r="B33" s="224"/>
      <c r="D33" s="105"/>
      <c r="E33" s="105"/>
      <c r="F33" s="105"/>
    </row>
    <row r="34" spans="1:6">
      <c r="A34"/>
      <c r="B34" s="224"/>
      <c r="D34" s="105"/>
      <c r="E34" s="105"/>
      <c r="F34" s="105"/>
    </row>
    <row r="35" spans="1:6">
      <c r="A35"/>
      <c r="B35" s="224"/>
      <c r="D35" s="105"/>
      <c r="E35" s="105"/>
      <c r="F35" s="105"/>
    </row>
    <row r="36" spans="1:6">
      <c r="A36"/>
      <c r="B36" s="224"/>
      <c r="D36" s="105"/>
      <c r="E36" s="105"/>
      <c r="F36" s="105"/>
    </row>
    <row r="37" spans="1:6">
      <c r="A37"/>
      <c r="B37" s="224"/>
      <c r="D37" s="105"/>
      <c r="E37" s="105"/>
      <c r="F37" s="105"/>
    </row>
    <row r="38" spans="1:6">
      <c r="A38"/>
      <c r="B38" s="224"/>
      <c r="D38" s="105"/>
      <c r="E38" s="105"/>
      <c r="F38" s="105"/>
    </row>
    <row r="39" spans="1:6">
      <c r="A39"/>
      <c r="B39" s="224"/>
      <c r="D39" s="105"/>
      <c r="E39" s="105"/>
      <c r="F39" s="105"/>
    </row>
    <row r="40" spans="1:6">
      <c r="A40"/>
      <c r="B40" s="224"/>
      <c r="D40" s="105"/>
      <c r="E40" s="105"/>
      <c r="F40" s="105"/>
    </row>
    <row r="41" spans="1:6">
      <c r="A41"/>
      <c r="B41" s="224"/>
      <c r="D41" s="105"/>
      <c r="E41" s="105"/>
      <c r="F41" s="105"/>
    </row>
    <row r="42" spans="1:6">
      <c r="A42"/>
      <c r="B42" s="224"/>
      <c r="D42" s="105"/>
      <c r="E42" s="105"/>
      <c r="F42" s="105"/>
    </row>
    <row r="43" spans="1:6">
      <c r="A43"/>
      <c r="B43" s="224"/>
      <c r="D43" s="105"/>
      <c r="E43" s="105"/>
      <c r="F43" s="105"/>
    </row>
    <row r="44" spans="1:6">
      <c r="A44"/>
      <c r="B44" s="224"/>
      <c r="D44" s="105"/>
      <c r="E44" s="105"/>
      <c r="F44" s="105"/>
    </row>
    <row r="45" spans="1:6">
      <c r="A45"/>
      <c r="B45" s="224"/>
      <c r="D45" s="105"/>
      <c r="E45" s="105"/>
      <c r="F45" s="105"/>
    </row>
    <row r="46" spans="1:6">
      <c r="A46"/>
      <c r="B46" s="224"/>
      <c r="D46" s="105"/>
      <c r="E46" s="105"/>
      <c r="F46" s="105"/>
    </row>
    <row r="47" spans="1:6">
      <c r="A47"/>
      <c r="B47" s="224"/>
      <c r="D47" s="105"/>
      <c r="E47" s="105"/>
      <c r="F47" s="105"/>
    </row>
    <row r="48" spans="1:6">
      <c r="A48"/>
      <c r="B48" s="224"/>
      <c r="D48" s="105"/>
      <c r="E48" s="105"/>
      <c r="F48" s="105"/>
    </row>
    <row r="49" spans="1:6">
      <c r="A49"/>
      <c r="B49" s="224"/>
      <c r="D49" s="105"/>
      <c r="E49" s="105"/>
      <c r="F49" s="105"/>
    </row>
    <row r="50" spans="1:6">
      <c r="A50"/>
      <c r="B50" s="224"/>
      <c r="D50" s="105"/>
      <c r="E50" s="105"/>
      <c r="F50" s="105"/>
    </row>
    <row r="51" spans="1:6">
      <c r="A51"/>
      <c r="B51" s="224"/>
      <c r="D51" s="105"/>
      <c r="E51" s="105"/>
      <c r="F51" s="105"/>
    </row>
    <row r="52" spans="1:6">
      <c r="A52"/>
      <c r="B52" s="224"/>
      <c r="D52" s="105"/>
      <c r="E52" s="105"/>
      <c r="F52" s="105"/>
    </row>
    <row r="53" spans="1:6">
      <c r="A53"/>
      <c r="B53" s="224"/>
      <c r="D53" s="105"/>
      <c r="E53" s="105"/>
      <c r="F53" s="105"/>
    </row>
    <row r="54" spans="1:6">
      <c r="A54"/>
      <c r="B54" s="224"/>
      <c r="D54" s="105"/>
      <c r="E54" s="105"/>
      <c r="F54" s="105"/>
    </row>
    <row r="55" spans="1:6">
      <c r="A55"/>
      <c r="B55" s="224"/>
      <c r="D55" s="105"/>
      <c r="E55" s="105"/>
      <c r="F55" s="105"/>
    </row>
    <row r="56" spans="1:6">
      <c r="A56"/>
      <c r="B56" s="224"/>
      <c r="D56" s="105"/>
      <c r="E56" s="105"/>
      <c r="F56" s="105"/>
    </row>
    <row r="57" spans="1:6">
      <c r="A57"/>
      <c r="B57" s="224"/>
      <c r="D57" s="105"/>
      <c r="E57" s="105"/>
      <c r="F57" s="105"/>
    </row>
    <row r="58" spans="1:6">
      <c r="A58"/>
      <c r="B58" s="224"/>
      <c r="D58" s="105"/>
      <c r="E58" s="105"/>
      <c r="F58" s="105"/>
    </row>
    <row r="59" spans="1:6">
      <c r="A59"/>
      <c r="B59" s="224"/>
      <c r="D59" s="105"/>
      <c r="E59" s="105"/>
      <c r="F59" s="105"/>
    </row>
    <row r="60" spans="1:6">
      <c r="A60"/>
      <c r="B60" s="224"/>
      <c r="D60" s="105"/>
      <c r="E60" s="105"/>
      <c r="F60" s="105"/>
    </row>
    <row r="61" spans="1:6">
      <c r="A61"/>
      <c r="B61" s="224"/>
      <c r="D61" s="105"/>
      <c r="E61" s="105"/>
      <c r="F61" s="105"/>
    </row>
    <row r="62" spans="1:6">
      <c r="A62"/>
      <c r="B62" s="224"/>
      <c r="D62" s="105"/>
      <c r="E62" s="105"/>
      <c r="F62" s="105"/>
    </row>
    <row r="63" spans="1:6">
      <c r="A63"/>
      <c r="B63" s="224"/>
      <c r="D63" s="105"/>
      <c r="E63" s="105"/>
      <c r="F63" s="105"/>
    </row>
    <row r="64" spans="1:6">
      <c r="A64"/>
      <c r="B64" s="224"/>
      <c r="D64" s="105"/>
      <c r="E64" s="105"/>
      <c r="F64" s="105"/>
    </row>
    <row r="65" spans="1:6">
      <c r="A65"/>
      <c r="B65" s="224"/>
      <c r="D65" s="105"/>
      <c r="E65" s="105"/>
      <c r="F65" s="105"/>
    </row>
    <row r="66" spans="1:6">
      <c r="A66"/>
      <c r="B66" s="224"/>
      <c r="D66" s="105"/>
      <c r="E66" s="105"/>
      <c r="F66" s="105"/>
    </row>
    <row r="67" spans="1:6">
      <c r="A67"/>
      <c r="B67" s="224"/>
      <c r="D67" s="105"/>
      <c r="E67" s="105"/>
      <c r="F67" s="105"/>
    </row>
    <row r="68" spans="1:6">
      <c r="A68"/>
      <c r="B68" s="224"/>
      <c r="D68" s="105"/>
      <c r="E68" s="105"/>
      <c r="F68" s="105"/>
    </row>
    <row r="69" spans="1:6">
      <c r="A69"/>
      <c r="B69" s="224"/>
      <c r="D69" s="105"/>
      <c r="E69" s="105"/>
      <c r="F69" s="105"/>
    </row>
    <row r="70" spans="1:6">
      <c r="A70"/>
      <c r="B70" s="224"/>
      <c r="D70" s="105"/>
      <c r="E70" s="105"/>
      <c r="F70" s="105"/>
    </row>
    <row r="71" spans="1:6">
      <c r="A71"/>
      <c r="B71" s="224"/>
      <c r="D71" s="105"/>
      <c r="E71" s="105"/>
      <c r="F71" s="105"/>
    </row>
    <row r="72" spans="1:6">
      <c r="A72"/>
      <c r="B72" s="224"/>
      <c r="D72" s="105"/>
      <c r="E72" s="105"/>
      <c r="F72" s="105"/>
    </row>
    <row r="73" spans="1:6">
      <c r="A73"/>
      <c r="B73" s="224"/>
      <c r="D73" s="105"/>
      <c r="E73" s="105"/>
      <c r="F73" s="105"/>
    </row>
    <row r="74" spans="1:6">
      <c r="A74"/>
      <c r="B74" s="224"/>
      <c r="D74" s="105"/>
      <c r="E74" s="105"/>
      <c r="F74" s="105"/>
    </row>
    <row r="75" spans="1:6">
      <c r="A75"/>
      <c r="B75" s="224"/>
      <c r="D75" s="105"/>
      <c r="E75" s="105"/>
      <c r="F75" s="105"/>
    </row>
    <row r="76" spans="1:6">
      <c r="A76"/>
      <c r="B76" s="224"/>
      <c r="D76" s="105"/>
      <c r="E76" s="105"/>
      <c r="F76" s="105"/>
    </row>
    <row r="77" spans="1:6">
      <c r="A77"/>
      <c r="B77" s="224"/>
      <c r="D77" s="105"/>
      <c r="E77" s="105"/>
      <c r="F77" s="105"/>
    </row>
    <row r="78" spans="1:6">
      <c r="A78"/>
      <c r="B78" s="224"/>
      <c r="D78" s="105"/>
      <c r="E78" s="105"/>
      <c r="F78" s="105"/>
    </row>
    <row r="79" spans="1:6">
      <c r="A79"/>
      <c r="B79" s="224"/>
      <c r="D79" s="105"/>
      <c r="E79" s="105"/>
      <c r="F79" s="105"/>
    </row>
    <row r="80" spans="1:6">
      <c r="A80"/>
      <c r="B80" s="224"/>
      <c r="D80" s="105"/>
      <c r="E80" s="105"/>
      <c r="F80" s="105"/>
    </row>
    <row r="81" spans="1:6">
      <c r="A81"/>
      <c r="B81" s="224"/>
      <c r="D81" s="105"/>
      <c r="E81" s="105"/>
      <c r="F81" s="105"/>
    </row>
    <row r="82" spans="1:6">
      <c r="A82"/>
      <c r="B82" s="224"/>
      <c r="D82" s="105"/>
      <c r="E82" s="105"/>
      <c r="F82" s="105"/>
    </row>
    <row r="83" spans="1:6">
      <c r="A83"/>
      <c r="B83" s="224"/>
      <c r="D83" s="105"/>
      <c r="E83" s="105"/>
      <c r="F83" s="105"/>
    </row>
    <row r="84" spans="1:6">
      <c r="A84"/>
      <c r="B84" s="224"/>
      <c r="D84" s="105"/>
      <c r="E84" s="105"/>
      <c r="F84" s="105"/>
    </row>
    <row r="85" spans="1:6">
      <c r="A85"/>
      <c r="B85" s="224"/>
      <c r="D85" s="105"/>
      <c r="E85" s="105"/>
      <c r="F85" s="105"/>
    </row>
    <row r="86" spans="1:6">
      <c r="A86"/>
      <c r="B86" s="224"/>
      <c r="D86" s="105"/>
      <c r="E86" s="105"/>
      <c r="F86" s="105"/>
    </row>
    <row r="87" spans="1:6">
      <c r="A87"/>
      <c r="B87" s="224"/>
      <c r="D87" s="105"/>
      <c r="E87" s="105"/>
      <c r="F87" s="105"/>
    </row>
    <row r="88" spans="1:6">
      <c r="A88"/>
      <c r="B88" s="224"/>
      <c r="D88" s="105"/>
      <c r="E88" s="105"/>
      <c r="F88" s="105"/>
    </row>
    <row r="89" spans="1:6">
      <c r="A89"/>
      <c r="B89" s="224"/>
      <c r="D89" s="105"/>
      <c r="E89" s="105"/>
      <c r="F89" s="105"/>
    </row>
    <row r="90" spans="1:6">
      <c r="A90"/>
      <c r="B90" s="224"/>
      <c r="D90" s="105"/>
      <c r="E90" s="105"/>
      <c r="F90" s="105"/>
    </row>
    <row r="91" spans="1:6">
      <c r="A91"/>
      <c r="B91" s="224"/>
      <c r="D91" s="105"/>
      <c r="E91" s="105"/>
      <c r="F91" s="105"/>
    </row>
    <row r="92" spans="1:6">
      <c r="A92"/>
      <c r="B92" s="224"/>
      <c r="D92" s="105"/>
      <c r="E92" s="105"/>
      <c r="F92" s="105"/>
    </row>
    <row r="93" spans="1:6">
      <c r="A93"/>
      <c r="B93" s="224"/>
      <c r="D93" s="105"/>
      <c r="E93" s="105"/>
      <c r="F93" s="105"/>
    </row>
    <row r="94" spans="1:6">
      <c r="A94"/>
      <c r="B94" s="224"/>
      <c r="D94" s="105"/>
      <c r="E94" s="105"/>
      <c r="F94" s="105"/>
    </row>
    <row r="95" spans="1:6">
      <c r="A95"/>
      <c r="B95" s="224"/>
      <c r="D95" s="105"/>
      <c r="E95" s="105"/>
      <c r="F95" s="105"/>
    </row>
    <row r="96" spans="1:6">
      <c r="A96"/>
      <c r="B96" s="224"/>
      <c r="D96" s="105"/>
      <c r="E96" s="105"/>
      <c r="F96" s="105"/>
    </row>
    <row r="97" spans="1:6">
      <c r="A97"/>
      <c r="B97" s="224"/>
      <c r="D97" s="105"/>
      <c r="E97" s="105"/>
      <c r="F97" s="105"/>
    </row>
    <row r="98" spans="1:6">
      <c r="A98"/>
      <c r="B98" s="224"/>
      <c r="D98" s="105"/>
      <c r="E98" s="105"/>
      <c r="F98" s="105"/>
    </row>
    <row r="99" spans="1:6">
      <c r="A99"/>
      <c r="B99" s="224"/>
      <c r="D99" s="105"/>
      <c r="E99" s="105"/>
      <c r="F99" s="105"/>
    </row>
    <row r="100" spans="1:6">
      <c r="A100"/>
      <c r="B100" s="224"/>
      <c r="D100" s="105"/>
      <c r="E100" s="105"/>
      <c r="F100" s="105"/>
    </row>
    <row r="101" spans="1:6">
      <c r="A101"/>
      <c r="B101" s="224"/>
      <c r="D101" s="105"/>
      <c r="E101" s="105"/>
      <c r="F101" s="105"/>
    </row>
    <row r="102" spans="1:6">
      <c r="A102"/>
      <c r="B102" s="224"/>
      <c r="D102" s="105"/>
      <c r="E102" s="105"/>
      <c r="F102" s="105"/>
    </row>
    <row r="103" spans="1:6">
      <c r="A103"/>
      <c r="B103" s="224"/>
      <c r="D103" s="105"/>
      <c r="E103" s="105"/>
      <c r="F103" s="105"/>
    </row>
    <row r="104" spans="1:6">
      <c r="A104"/>
      <c r="B104" s="224"/>
      <c r="D104" s="105"/>
      <c r="E104" s="105"/>
      <c r="F104" s="105"/>
    </row>
    <row r="105" spans="1:6">
      <c r="A105"/>
      <c r="B105" s="224"/>
      <c r="D105" s="105"/>
      <c r="E105" s="105"/>
      <c r="F105" s="105"/>
    </row>
    <row r="106" spans="1:6">
      <c r="A106"/>
      <c r="B106" s="224"/>
      <c r="D106" s="105"/>
      <c r="E106" s="105"/>
      <c r="F106" s="105"/>
    </row>
    <row r="107" spans="1:6">
      <c r="A107"/>
      <c r="B107" s="224"/>
      <c r="D107" s="105"/>
      <c r="E107" s="105"/>
      <c r="F107" s="105"/>
    </row>
    <row r="108" spans="1:6">
      <c r="A108"/>
      <c r="B108" s="224"/>
      <c r="D108" s="105"/>
      <c r="E108" s="105"/>
      <c r="F108" s="105"/>
    </row>
    <row r="109" spans="1:6">
      <c r="A109"/>
      <c r="B109" s="224"/>
      <c r="D109" s="105"/>
      <c r="E109" s="105"/>
      <c r="F109" s="105"/>
    </row>
    <row r="110" spans="1:6">
      <c r="A110"/>
      <c r="B110" s="224"/>
      <c r="D110" s="105"/>
      <c r="E110" s="105"/>
      <c r="F110" s="105"/>
    </row>
    <row r="111" spans="1:6">
      <c r="A111"/>
      <c r="B111" s="224"/>
      <c r="D111" s="105"/>
      <c r="E111" s="105"/>
      <c r="F111" s="105"/>
    </row>
    <row r="112" spans="1:6">
      <c r="A112"/>
      <c r="B112" s="224"/>
      <c r="D112" s="105"/>
      <c r="E112" s="105"/>
      <c r="F112" s="105"/>
    </row>
    <row r="113" spans="1:6">
      <c r="A113"/>
      <c r="B113" s="224"/>
      <c r="D113" s="105"/>
      <c r="E113" s="105"/>
      <c r="F113" s="105"/>
    </row>
    <row r="114" spans="1:6">
      <c r="A114"/>
      <c r="B114" s="224"/>
      <c r="D114" s="105"/>
      <c r="E114" s="105"/>
      <c r="F114" s="105"/>
    </row>
    <row r="115" spans="1:6">
      <c r="A115"/>
      <c r="B115" s="224"/>
      <c r="D115" s="105"/>
      <c r="E115" s="105"/>
      <c r="F115" s="105"/>
    </row>
    <row r="116" spans="1:6">
      <c r="A116"/>
      <c r="B116" s="224"/>
      <c r="D116" s="105"/>
      <c r="E116" s="105"/>
      <c r="F116" s="105"/>
    </row>
    <row r="117" spans="1:6">
      <c r="A117"/>
      <c r="B117" s="224"/>
      <c r="D117" s="105"/>
      <c r="E117" s="105"/>
      <c r="F117" s="105"/>
    </row>
    <row r="118" spans="1:6">
      <c r="A118"/>
      <c r="B118" s="224"/>
      <c r="D118" s="105"/>
      <c r="E118" s="105"/>
      <c r="F118" s="105"/>
    </row>
    <row r="119" spans="1:6">
      <c r="A119"/>
      <c r="B119" s="224"/>
      <c r="D119" s="105"/>
      <c r="E119" s="105"/>
      <c r="F119" s="105"/>
    </row>
    <row r="120" spans="1:6">
      <c r="A120"/>
      <c r="B120" s="224"/>
      <c r="D120" s="105"/>
      <c r="E120" s="105"/>
      <c r="F120" s="105"/>
    </row>
    <row r="121" spans="1:6">
      <c r="A121"/>
      <c r="B121" s="224"/>
      <c r="D121" s="105"/>
      <c r="E121" s="105"/>
      <c r="F121" s="105"/>
    </row>
    <row r="122" spans="1:6">
      <c r="A122"/>
      <c r="B122" s="224"/>
      <c r="D122" s="105"/>
      <c r="E122" s="105"/>
      <c r="F122" s="105"/>
    </row>
    <row r="123" spans="1:6">
      <c r="A123"/>
      <c r="B123" s="224"/>
      <c r="D123" s="105"/>
      <c r="E123" s="105"/>
      <c r="F123" s="105"/>
    </row>
    <row r="124" spans="1:6">
      <c r="A124"/>
      <c r="B124" s="224"/>
      <c r="D124" s="105"/>
      <c r="E124" s="105"/>
      <c r="F124" s="105"/>
    </row>
    <row r="125" spans="1:6">
      <c r="A125"/>
      <c r="B125" s="224"/>
      <c r="D125" s="105"/>
      <c r="E125" s="105"/>
      <c r="F125" s="105"/>
    </row>
    <row r="126" spans="1:6">
      <c r="A126"/>
      <c r="B126" s="224"/>
      <c r="D126" s="105"/>
      <c r="E126" s="105"/>
      <c r="F126" s="105"/>
    </row>
    <row r="127" spans="1:6">
      <c r="A127"/>
      <c r="B127" s="224"/>
      <c r="D127" s="105"/>
      <c r="E127" s="105"/>
      <c r="F127" s="105"/>
    </row>
    <row r="128" spans="1:6">
      <c r="A128"/>
      <c r="B128" s="224"/>
      <c r="D128" s="105"/>
      <c r="E128" s="105"/>
      <c r="F128" s="105"/>
    </row>
    <row r="129" spans="1:6">
      <c r="A129"/>
      <c r="B129" s="224"/>
      <c r="D129" s="105"/>
      <c r="E129" s="105"/>
      <c r="F129" s="105"/>
    </row>
    <row r="130" spans="1:6">
      <c r="A130"/>
      <c r="B130" s="224"/>
      <c r="D130" s="105"/>
      <c r="E130" s="105"/>
      <c r="F130" s="105"/>
    </row>
    <row r="131" spans="1:6">
      <c r="A131"/>
      <c r="B131" s="224"/>
      <c r="D131" s="105"/>
      <c r="E131" s="105"/>
      <c r="F131" s="105"/>
    </row>
    <row r="132" spans="1:6">
      <c r="A132"/>
      <c r="B132" s="224"/>
      <c r="D132" s="105"/>
      <c r="E132" s="105"/>
      <c r="F132" s="105"/>
    </row>
    <row r="133" spans="1:6">
      <c r="A133"/>
      <c r="B133" s="224"/>
      <c r="D133" s="105"/>
      <c r="E133" s="105"/>
      <c r="F133" s="105"/>
    </row>
    <row r="134" spans="1:6">
      <c r="A134"/>
      <c r="B134" s="224"/>
      <c r="D134" s="105"/>
      <c r="E134" s="105"/>
      <c r="F134" s="105"/>
    </row>
    <row r="135" spans="1:6">
      <c r="A135"/>
      <c r="B135" s="224"/>
      <c r="D135" s="105"/>
      <c r="E135" s="105"/>
      <c r="F135" s="105"/>
    </row>
    <row r="136" spans="1:6">
      <c r="A136"/>
      <c r="B136" s="224"/>
      <c r="D136" s="105"/>
      <c r="E136" s="105"/>
      <c r="F136" s="105"/>
    </row>
    <row r="137" spans="1:6">
      <c r="A137"/>
      <c r="B137" s="224"/>
      <c r="D137" s="105"/>
      <c r="E137" s="105"/>
      <c r="F137" s="105"/>
    </row>
    <row r="138" spans="1:6">
      <c r="A138"/>
      <c r="B138" s="224"/>
      <c r="D138" s="105"/>
      <c r="E138" s="105"/>
      <c r="F138" s="105"/>
    </row>
    <row r="139" spans="1:6">
      <c r="A139"/>
      <c r="B139" s="224"/>
      <c r="D139" s="105"/>
      <c r="E139" s="105"/>
      <c r="F139" s="105"/>
    </row>
    <row r="140" spans="1:6">
      <c r="A140"/>
      <c r="B140" s="224"/>
      <c r="D140" s="105"/>
      <c r="E140" s="105"/>
      <c r="F140" s="105"/>
    </row>
    <row r="141" spans="1:6">
      <c r="A141"/>
      <c r="B141" s="224"/>
      <c r="D141" s="105"/>
      <c r="E141" s="105"/>
      <c r="F141" s="105"/>
    </row>
    <row r="142" spans="1:6">
      <c r="A142"/>
      <c r="B142" s="224"/>
      <c r="D142" s="105"/>
      <c r="E142" s="105"/>
      <c r="F142" s="105"/>
    </row>
    <row r="143" spans="1:6">
      <c r="A143"/>
      <c r="B143" s="224"/>
      <c r="D143" s="105"/>
      <c r="E143" s="105"/>
      <c r="F143" s="105"/>
    </row>
    <row r="144" spans="1:6">
      <c r="A144"/>
      <c r="B144" s="224"/>
      <c r="D144" s="105"/>
      <c r="E144" s="105"/>
      <c r="F144" s="105"/>
    </row>
    <row r="145" spans="1:6">
      <c r="A145"/>
      <c r="B145" s="224"/>
      <c r="D145" s="105"/>
      <c r="E145" s="105"/>
      <c r="F145" s="105"/>
    </row>
    <row r="146" spans="1:6">
      <c r="A146"/>
      <c r="B146" s="224"/>
      <c r="D146" s="105"/>
      <c r="E146" s="105"/>
      <c r="F146" s="105"/>
    </row>
    <row r="147" spans="1:6">
      <c r="A147"/>
      <c r="B147" s="224"/>
      <c r="D147" s="105"/>
      <c r="E147" s="105"/>
      <c r="F147" s="105"/>
    </row>
    <row r="148" spans="1:6">
      <c r="A148"/>
      <c r="B148" s="224"/>
      <c r="D148" s="105"/>
      <c r="E148" s="105"/>
      <c r="F148" s="105"/>
    </row>
    <row r="149" spans="1:6">
      <c r="A149"/>
      <c r="B149" s="224"/>
      <c r="D149" s="105"/>
      <c r="E149" s="105"/>
      <c r="F149" s="105"/>
    </row>
    <row r="150" spans="1:6">
      <c r="A150"/>
      <c r="B150" s="224"/>
      <c r="D150" s="105"/>
      <c r="E150" s="105"/>
      <c r="F150" s="105"/>
    </row>
    <row r="151" spans="1:6">
      <c r="A151"/>
      <c r="B151" s="224"/>
      <c r="D151" s="105"/>
      <c r="E151" s="105"/>
      <c r="F151" s="105"/>
    </row>
    <row r="152" spans="1:6">
      <c r="A152"/>
      <c r="B152" s="224"/>
      <c r="D152" s="105"/>
      <c r="E152" s="105"/>
      <c r="F152" s="105"/>
    </row>
    <row r="153" spans="1:6">
      <c r="A153"/>
      <c r="B153" s="224"/>
      <c r="D153" s="105"/>
      <c r="E153" s="105"/>
      <c r="F153" s="105"/>
    </row>
    <row r="154" spans="1:6">
      <c r="A154"/>
      <c r="B154" s="224"/>
      <c r="D154" s="105"/>
      <c r="E154" s="105"/>
      <c r="F154" s="105"/>
    </row>
    <row r="155" spans="1:6">
      <c r="A155"/>
      <c r="B155" s="224"/>
      <c r="D155" s="105"/>
      <c r="E155" s="105"/>
      <c r="F155" s="105"/>
    </row>
    <row r="156" spans="1:6">
      <c r="A156"/>
      <c r="B156" s="224"/>
      <c r="D156" s="105"/>
      <c r="E156" s="105"/>
      <c r="F156" s="105"/>
    </row>
    <row r="157" spans="1:6">
      <c r="A157"/>
      <c r="B157" s="224"/>
      <c r="D157" s="105"/>
      <c r="E157" s="105"/>
      <c r="F157" s="105"/>
    </row>
    <row r="158" spans="1:6">
      <c r="A158"/>
      <c r="B158" s="224"/>
      <c r="D158" s="105"/>
      <c r="E158" s="105"/>
      <c r="F158" s="105"/>
    </row>
    <row r="159" spans="1:6">
      <c r="A159"/>
      <c r="B159" s="224"/>
      <c r="D159" s="105"/>
      <c r="E159" s="105"/>
      <c r="F159" s="105"/>
    </row>
    <row r="160" spans="1:6">
      <c r="A160"/>
      <c r="B160" s="224"/>
      <c r="D160" s="105"/>
      <c r="E160" s="105"/>
      <c r="F160" s="105"/>
    </row>
    <row r="161" spans="1:6">
      <c r="A161"/>
      <c r="B161" s="224"/>
      <c r="D161" s="105"/>
      <c r="E161" s="105"/>
      <c r="F161" s="105"/>
    </row>
    <row r="162" spans="1:6">
      <c r="A162"/>
      <c r="B162" s="224"/>
      <c r="D162" s="105"/>
      <c r="E162" s="105"/>
      <c r="F162" s="105"/>
    </row>
    <row r="163" spans="1:6">
      <c r="A163"/>
      <c r="B163" s="224"/>
      <c r="D163" s="105"/>
      <c r="E163" s="105"/>
      <c r="F163" s="105"/>
    </row>
    <row r="164" spans="1:6">
      <c r="A164"/>
      <c r="B164" s="224"/>
      <c r="D164" s="105"/>
      <c r="E164" s="105"/>
      <c r="F164" s="105"/>
    </row>
    <row r="165" spans="1:6">
      <c r="A165"/>
      <c r="B165" s="224"/>
      <c r="D165" s="105"/>
      <c r="E165" s="105"/>
      <c r="F165" s="105"/>
    </row>
    <row r="166" spans="1:6">
      <c r="A166"/>
      <c r="B166" s="224"/>
      <c r="D166" s="105"/>
      <c r="E166" s="105"/>
      <c r="F166" s="105"/>
    </row>
    <row r="167" spans="1:6">
      <c r="A167"/>
      <c r="B167" s="224"/>
      <c r="D167" s="105"/>
      <c r="E167" s="105"/>
      <c r="F167" s="105"/>
    </row>
    <row r="168" spans="1:6">
      <c r="A168"/>
      <c r="B168" s="224"/>
      <c r="D168" s="105"/>
      <c r="E168" s="105"/>
      <c r="F168" s="105"/>
    </row>
    <row r="169" spans="1:6">
      <c r="A169"/>
      <c r="B169" s="224"/>
      <c r="D169" s="105"/>
      <c r="E169" s="105"/>
      <c r="F169" s="105"/>
    </row>
    <row r="170" spans="1:6">
      <c r="A170"/>
      <c r="B170" s="224"/>
      <c r="D170" s="105"/>
      <c r="E170" s="105"/>
      <c r="F170" s="105"/>
    </row>
    <row r="171" spans="1:6">
      <c r="A171"/>
      <c r="B171" s="224"/>
      <c r="D171" s="105"/>
      <c r="E171" s="105"/>
      <c r="F171" s="105"/>
    </row>
    <row r="172" spans="1:6">
      <c r="A172"/>
      <c r="B172" s="224"/>
      <c r="D172" s="105"/>
      <c r="E172" s="105"/>
      <c r="F172" s="105"/>
    </row>
    <row r="173" spans="1:6">
      <c r="A173"/>
      <c r="B173" s="224"/>
      <c r="D173" s="105"/>
      <c r="E173" s="105"/>
      <c r="F173" s="105"/>
    </row>
    <row r="174" spans="1:6">
      <c r="A174"/>
      <c r="B174" s="224"/>
      <c r="D174" s="105"/>
      <c r="E174" s="105"/>
      <c r="F174" s="105"/>
    </row>
    <row r="175" spans="1:6">
      <c r="A175"/>
      <c r="B175" s="224"/>
      <c r="D175" s="105"/>
      <c r="E175" s="105"/>
      <c r="F175" s="105"/>
    </row>
    <row r="176" spans="1:6">
      <c r="A176"/>
      <c r="B176" s="224"/>
      <c r="D176" s="105"/>
      <c r="E176" s="105"/>
      <c r="F176" s="105"/>
    </row>
    <row r="177" spans="1:6">
      <c r="A177"/>
      <c r="B177" s="224"/>
      <c r="D177" s="105"/>
      <c r="E177" s="105"/>
      <c r="F177" s="105"/>
    </row>
    <row r="178" spans="1:6">
      <c r="A178"/>
      <c r="B178" s="224"/>
      <c r="D178" s="105"/>
      <c r="E178" s="105"/>
      <c r="F178" s="105"/>
    </row>
    <row r="179" spans="1:6">
      <c r="A179"/>
      <c r="B179" s="224"/>
      <c r="D179" s="105"/>
      <c r="E179" s="105"/>
      <c r="F179" s="105"/>
    </row>
    <row r="180" spans="1:6">
      <c r="A180"/>
      <c r="B180" s="224"/>
      <c r="D180" s="105"/>
      <c r="E180" s="105"/>
      <c r="F180" s="105"/>
    </row>
    <row r="181" spans="1:6">
      <c r="A181"/>
      <c r="B181" s="224"/>
      <c r="D181" s="105"/>
      <c r="E181" s="105"/>
      <c r="F181" s="105"/>
    </row>
    <row r="182" spans="1:6">
      <c r="A182"/>
      <c r="B182" s="224"/>
      <c r="D182" s="105"/>
      <c r="E182" s="105"/>
      <c r="F182" s="105"/>
    </row>
    <row r="183" spans="1:6">
      <c r="A183"/>
      <c r="B183" s="224"/>
      <c r="D183" s="105"/>
      <c r="E183" s="105"/>
      <c r="F183" s="105"/>
    </row>
    <row r="184" spans="1:6">
      <c r="A184"/>
      <c r="B184" s="224"/>
      <c r="D184" s="105"/>
      <c r="E184" s="105"/>
      <c r="F184" s="105"/>
    </row>
    <row r="185" spans="1:6">
      <c r="A185"/>
      <c r="B185" s="224"/>
      <c r="D185" s="105"/>
      <c r="E185" s="105"/>
      <c r="F185" s="105"/>
    </row>
    <row r="186" spans="1:6">
      <c r="A186"/>
      <c r="B186" s="224"/>
      <c r="D186" s="105"/>
      <c r="E186" s="105"/>
      <c r="F186" s="105"/>
    </row>
    <row r="187" spans="1:6">
      <c r="A187"/>
      <c r="B187" s="224"/>
      <c r="D187" s="105"/>
      <c r="E187" s="105"/>
      <c r="F187" s="105"/>
    </row>
    <row r="188" spans="1:6">
      <c r="A188"/>
      <c r="B188" s="224"/>
      <c r="D188" s="105"/>
      <c r="E188" s="105"/>
      <c r="F188" s="105"/>
    </row>
    <row r="189" spans="1:6">
      <c r="A189"/>
      <c r="B189" s="224"/>
      <c r="D189" s="105"/>
      <c r="E189" s="105"/>
      <c r="F189" s="105"/>
    </row>
    <row r="190" spans="1:6">
      <c r="A190"/>
      <c r="B190" s="224"/>
      <c r="D190" s="105"/>
      <c r="E190" s="105"/>
      <c r="F190" s="105"/>
    </row>
    <row r="191" spans="1:6">
      <c r="A191"/>
      <c r="B191" s="224"/>
      <c r="D191" s="105"/>
      <c r="E191" s="105"/>
      <c r="F191" s="105"/>
    </row>
    <row r="192" spans="1:6">
      <c r="A192"/>
      <c r="B192" s="224"/>
      <c r="D192" s="105"/>
      <c r="E192" s="105"/>
      <c r="F192" s="105"/>
    </row>
    <row r="193" spans="1:6">
      <c r="A193"/>
      <c r="B193" s="224"/>
      <c r="D193" s="105"/>
      <c r="E193" s="105"/>
      <c r="F193" s="105"/>
    </row>
    <row r="194" spans="1:6">
      <c r="A194"/>
      <c r="B194" s="224"/>
      <c r="D194" s="105"/>
      <c r="E194" s="105"/>
      <c r="F194" s="105"/>
    </row>
    <row r="195" spans="1:6">
      <c r="A195"/>
      <c r="B195" s="224"/>
      <c r="D195" s="105"/>
      <c r="E195" s="105"/>
      <c r="F195" s="105"/>
    </row>
    <row r="196" spans="1:6">
      <c r="A196"/>
      <c r="B196" s="224"/>
      <c r="D196" s="105"/>
      <c r="E196" s="105"/>
      <c r="F196" s="105"/>
    </row>
    <row r="197" spans="1:6">
      <c r="A197"/>
      <c r="B197" s="224"/>
      <c r="D197" s="105"/>
      <c r="E197" s="105"/>
      <c r="F197" s="105"/>
    </row>
    <row r="198" spans="1:6">
      <c r="A198"/>
      <c r="B198" s="224"/>
      <c r="D198" s="105"/>
      <c r="E198" s="105"/>
      <c r="F198" s="105"/>
    </row>
    <row r="199" spans="1:6">
      <c r="A199"/>
      <c r="B199" s="224"/>
      <c r="D199" s="105"/>
      <c r="E199" s="105"/>
      <c r="F199" s="105"/>
    </row>
    <row r="200" spans="1:6">
      <c r="A200"/>
      <c r="B200" s="224"/>
      <c r="D200" s="105"/>
      <c r="E200" s="105"/>
      <c r="F200" s="105"/>
    </row>
    <row r="201" spans="1:6">
      <c r="A201"/>
      <c r="B201" s="224"/>
      <c r="D201" s="105"/>
      <c r="E201" s="105"/>
      <c r="F201" s="105"/>
    </row>
    <row r="202" spans="1:6">
      <c r="A202"/>
      <c r="B202" s="224"/>
      <c r="D202" s="105"/>
      <c r="E202" s="105"/>
      <c r="F202" s="105"/>
    </row>
    <row r="203" spans="1:6">
      <c r="A203"/>
      <c r="B203" s="224"/>
      <c r="D203" s="105"/>
      <c r="E203" s="105"/>
      <c r="F203" s="105"/>
    </row>
    <row r="204" spans="1:6">
      <c r="A204"/>
      <c r="B204" s="224"/>
      <c r="D204" s="105"/>
      <c r="E204" s="105"/>
      <c r="F204" s="105"/>
    </row>
    <row r="205" spans="1:6">
      <c r="A205"/>
      <c r="B205" s="224"/>
      <c r="D205" s="105"/>
      <c r="E205" s="105"/>
      <c r="F205" s="105"/>
    </row>
    <row r="206" spans="1:6">
      <c r="A206"/>
      <c r="B206" s="224"/>
      <c r="D206" s="105"/>
      <c r="E206" s="105"/>
      <c r="F206" s="105"/>
    </row>
    <row r="207" spans="1:6">
      <c r="A207"/>
      <c r="B207" s="224"/>
      <c r="D207" s="105"/>
      <c r="E207" s="105"/>
      <c r="F207" s="105"/>
    </row>
    <row r="208" spans="1:6">
      <c r="A208"/>
      <c r="B208" s="224"/>
      <c r="D208" s="105"/>
      <c r="E208" s="105"/>
      <c r="F208" s="105"/>
    </row>
    <row r="209" spans="1:6">
      <c r="A209"/>
      <c r="B209" s="224"/>
      <c r="D209" s="105"/>
      <c r="E209" s="105"/>
      <c r="F209" s="105"/>
    </row>
    <row r="210" spans="1:6">
      <c r="A210"/>
      <c r="B210" s="224"/>
      <c r="D210" s="105"/>
      <c r="E210" s="105"/>
      <c r="F210" s="105"/>
    </row>
    <row r="211" spans="1:6">
      <c r="A211"/>
      <c r="B211" s="224"/>
      <c r="D211" s="105"/>
      <c r="E211" s="105"/>
      <c r="F211" s="105"/>
    </row>
    <row r="212" spans="1:6">
      <c r="A212"/>
      <c r="B212" s="224"/>
      <c r="D212" s="105"/>
      <c r="E212" s="105"/>
      <c r="F212" s="105"/>
    </row>
    <row r="213" spans="1:6">
      <c r="A213"/>
      <c r="B213" s="224"/>
      <c r="D213" s="105"/>
      <c r="E213" s="105"/>
      <c r="F213" s="105"/>
    </row>
    <row r="214" spans="1:6">
      <c r="A214"/>
      <c r="B214" s="224"/>
      <c r="D214" s="105"/>
      <c r="E214" s="105"/>
      <c r="F214" s="105"/>
    </row>
    <row r="215" spans="1:6">
      <c r="A215"/>
      <c r="B215" s="224"/>
      <c r="D215" s="105"/>
      <c r="E215" s="105"/>
      <c r="F215" s="105"/>
    </row>
    <row r="216" spans="1:6">
      <c r="A216"/>
      <c r="B216" s="224"/>
      <c r="D216" s="105"/>
      <c r="E216" s="105"/>
      <c r="F216" s="105"/>
    </row>
    <row r="217" spans="1:6">
      <c r="A217"/>
      <c r="B217" s="224"/>
      <c r="D217" s="105"/>
      <c r="E217" s="105"/>
      <c r="F217" s="105"/>
    </row>
    <row r="218" spans="1:6">
      <c r="A218"/>
      <c r="B218" s="224"/>
      <c r="D218" s="105"/>
      <c r="E218" s="105"/>
      <c r="F218" s="105"/>
    </row>
    <row r="219" spans="1:6">
      <c r="A219"/>
      <c r="B219" s="224"/>
      <c r="D219" s="105"/>
      <c r="E219" s="105"/>
      <c r="F219" s="105"/>
    </row>
    <row r="220" spans="1:6">
      <c r="A220"/>
      <c r="B220" s="224"/>
      <c r="D220" s="105"/>
      <c r="E220" s="105"/>
      <c r="F220" s="105"/>
    </row>
    <row r="221" spans="1:6">
      <c r="A221"/>
      <c r="B221" s="224"/>
      <c r="D221" s="105"/>
      <c r="E221" s="105"/>
      <c r="F221" s="105"/>
    </row>
    <row r="222" spans="1:6">
      <c r="A222"/>
      <c r="B222" s="224"/>
      <c r="D222" s="105"/>
      <c r="E222" s="105"/>
      <c r="F222" s="105"/>
    </row>
    <row r="223" spans="1:6">
      <c r="A223"/>
      <c r="B223" s="224"/>
      <c r="D223" s="105"/>
      <c r="E223" s="105"/>
      <c r="F223" s="105"/>
    </row>
    <row r="224" spans="1:6">
      <c r="A224"/>
      <c r="B224" s="224"/>
      <c r="D224" s="105"/>
      <c r="E224" s="105"/>
      <c r="F224" s="105"/>
    </row>
    <row r="225" spans="1:6">
      <c r="A225"/>
      <c r="B225" s="224"/>
      <c r="D225" s="105"/>
      <c r="E225" s="105"/>
      <c r="F225" s="105"/>
    </row>
    <row r="226" spans="1:6">
      <c r="A226"/>
      <c r="B226" s="224"/>
      <c r="D226" s="105"/>
      <c r="E226" s="105"/>
      <c r="F226" s="105"/>
    </row>
    <row r="227" spans="1:6">
      <c r="A227"/>
      <c r="B227" s="224"/>
      <c r="D227" s="105"/>
      <c r="E227" s="105"/>
      <c r="F227" s="105"/>
    </row>
    <row r="228" spans="1:6">
      <c r="A228"/>
      <c r="B228" s="224"/>
      <c r="D228" s="105"/>
      <c r="E228" s="105"/>
      <c r="F228" s="105"/>
    </row>
    <row r="229" spans="1:6">
      <c r="A229"/>
      <c r="B229" s="224"/>
      <c r="D229" s="105"/>
      <c r="E229" s="105"/>
      <c r="F229" s="105"/>
    </row>
    <row r="230" spans="1:6">
      <c r="A230"/>
      <c r="B230" s="224"/>
      <c r="D230" s="105"/>
      <c r="E230" s="105"/>
      <c r="F230" s="105"/>
    </row>
    <row r="231" spans="1:6">
      <c r="A231"/>
      <c r="B231" s="224"/>
      <c r="D231" s="105"/>
      <c r="E231" s="105"/>
      <c r="F231" s="105"/>
    </row>
    <row r="232" spans="1:6">
      <c r="A232"/>
      <c r="B232" s="224"/>
      <c r="D232" s="105"/>
      <c r="E232" s="105"/>
      <c r="F232" s="105"/>
    </row>
    <row r="233" spans="1:6">
      <c r="A233"/>
      <c r="B233" s="224"/>
      <c r="D233" s="105"/>
      <c r="E233" s="105"/>
      <c r="F233" s="105"/>
    </row>
    <row r="234" spans="1:6">
      <c r="A234"/>
      <c r="B234" s="224"/>
      <c r="D234" s="105"/>
      <c r="E234" s="105"/>
      <c r="F234" s="105"/>
    </row>
    <row r="235" spans="1:6">
      <c r="A235"/>
      <c r="B235" s="224"/>
      <c r="D235" s="105"/>
      <c r="E235" s="105"/>
      <c r="F235" s="105"/>
    </row>
    <row r="236" spans="1:6">
      <c r="A236"/>
      <c r="B236" s="224"/>
      <c r="D236" s="105"/>
      <c r="E236" s="105"/>
      <c r="F236" s="105"/>
    </row>
    <row r="237" spans="1:6">
      <c r="A237"/>
      <c r="B237" s="224"/>
      <c r="D237" s="105"/>
      <c r="E237" s="105"/>
      <c r="F237" s="105"/>
    </row>
    <row r="238" spans="1:6">
      <c r="A238"/>
      <c r="B238" s="224"/>
      <c r="D238" s="105"/>
      <c r="E238" s="105"/>
      <c r="F238" s="105"/>
    </row>
    <row r="239" spans="1:6">
      <c r="A239"/>
      <c r="B239" s="224"/>
      <c r="D239" s="105"/>
      <c r="E239" s="105"/>
      <c r="F239" s="105"/>
    </row>
    <row r="240" spans="1:6">
      <c r="A240"/>
      <c r="B240" s="224"/>
      <c r="D240" s="105"/>
      <c r="E240" s="105"/>
      <c r="F240" s="105"/>
    </row>
    <row r="241" spans="1:6">
      <c r="A241"/>
      <c r="B241" s="224"/>
      <c r="D241" s="105"/>
      <c r="E241" s="105"/>
      <c r="F241" s="105"/>
    </row>
    <row r="242" spans="1:6">
      <c r="A242"/>
      <c r="B242" s="224"/>
      <c r="D242" s="105"/>
      <c r="E242" s="105"/>
      <c r="F242" s="105"/>
    </row>
    <row r="243" spans="1:6">
      <c r="A243"/>
      <c r="B243" s="224"/>
      <c r="D243" s="105"/>
      <c r="E243" s="105"/>
      <c r="F243" s="105"/>
    </row>
    <row r="244" spans="1:6">
      <c r="A244"/>
      <c r="B244" s="224"/>
      <c r="D244" s="105"/>
      <c r="E244" s="105"/>
      <c r="F244" s="105"/>
    </row>
    <row r="245" spans="1:6">
      <c r="A245"/>
      <c r="B245" s="224"/>
      <c r="D245" s="105"/>
      <c r="E245" s="105"/>
      <c r="F245" s="105"/>
    </row>
    <row r="246" spans="1:6">
      <c r="A246"/>
      <c r="B246" s="224"/>
      <c r="D246" s="105"/>
      <c r="E246" s="105"/>
      <c r="F246" s="105"/>
    </row>
    <row r="247" spans="1:6">
      <c r="A247"/>
      <c r="B247" s="224"/>
      <c r="D247" s="105"/>
      <c r="E247" s="105"/>
      <c r="F247" s="105"/>
    </row>
    <row r="248" spans="1:6">
      <c r="A248"/>
      <c r="B248" s="224"/>
      <c r="D248" s="105"/>
      <c r="E248" s="105"/>
      <c r="F248" s="105"/>
    </row>
    <row r="249" spans="1:6">
      <c r="A249"/>
      <c r="B249" s="224"/>
      <c r="D249" s="105"/>
      <c r="E249" s="105"/>
      <c r="F249" s="105"/>
    </row>
    <row r="250" spans="1:6">
      <c r="A250"/>
      <c r="B250" s="224"/>
      <c r="D250" s="105"/>
      <c r="E250" s="105"/>
      <c r="F250" s="105"/>
    </row>
    <row r="251" spans="1:6">
      <c r="A251"/>
      <c r="B251" s="224"/>
      <c r="D251" s="105"/>
      <c r="E251" s="105"/>
      <c r="F251" s="105"/>
    </row>
    <row r="252" spans="1:6">
      <c r="A252"/>
      <c r="B252" s="224"/>
      <c r="D252" s="105"/>
      <c r="E252" s="105"/>
      <c r="F252" s="105"/>
    </row>
    <row r="253" spans="1:6">
      <c r="A253"/>
      <c r="B253" s="224"/>
      <c r="D253" s="105"/>
      <c r="E253" s="105"/>
      <c r="F253" s="105"/>
    </row>
    <row r="254" spans="1:6">
      <c r="A254"/>
      <c r="B254" s="224"/>
      <c r="D254" s="105"/>
      <c r="E254" s="105"/>
      <c r="F254" s="105"/>
    </row>
    <row r="255" spans="1:6">
      <c r="A255"/>
      <c r="B255" s="224"/>
      <c r="D255" s="105"/>
      <c r="E255" s="105"/>
      <c r="F255" s="105"/>
    </row>
    <row r="256" spans="1:6">
      <c r="A256"/>
      <c r="B256" s="224"/>
      <c r="D256" s="105"/>
      <c r="E256" s="105"/>
      <c r="F256" s="105"/>
    </row>
    <row r="257" spans="1:6">
      <c r="A257"/>
      <c r="B257" s="224"/>
      <c r="D257" s="105"/>
      <c r="E257" s="105"/>
      <c r="F257" s="105"/>
    </row>
    <row r="258" spans="1:6">
      <c r="A258"/>
      <c r="B258" s="224"/>
      <c r="D258" s="105"/>
      <c r="E258" s="105"/>
      <c r="F258" s="105"/>
    </row>
    <row r="259" spans="1:6">
      <c r="A259"/>
      <c r="B259" s="224"/>
      <c r="D259" s="105"/>
      <c r="E259" s="105"/>
      <c r="F259" s="105"/>
    </row>
    <row r="260" spans="1:6">
      <c r="A260"/>
      <c r="B260" s="224"/>
      <c r="D260" s="105"/>
      <c r="E260" s="105"/>
      <c r="F260" s="105"/>
    </row>
    <row r="261" spans="1:6">
      <c r="A261"/>
      <c r="B261" s="224"/>
      <c r="D261" s="105"/>
      <c r="E261" s="105"/>
      <c r="F261" s="105"/>
    </row>
    <row r="262" spans="1:6">
      <c r="A262"/>
      <c r="B262" s="224"/>
      <c r="D262" s="105"/>
      <c r="E262" s="105"/>
      <c r="F262" s="105"/>
    </row>
    <row r="263" spans="1:6">
      <c r="A263"/>
      <c r="B263" s="224"/>
      <c r="D263" s="105"/>
      <c r="E263" s="105"/>
      <c r="F263" s="105"/>
    </row>
    <row r="264" spans="1:6">
      <c r="A264"/>
      <c r="B264" s="224"/>
      <c r="D264" s="105"/>
      <c r="E264" s="105"/>
      <c r="F264" s="105"/>
    </row>
    <row r="265" spans="1:6">
      <c r="A265"/>
      <c r="B265" s="224"/>
      <c r="D265" s="105"/>
      <c r="E265" s="105"/>
      <c r="F265" s="105"/>
    </row>
    <row r="266" spans="1:6">
      <c r="A266"/>
      <c r="B266" s="224"/>
      <c r="D266" s="105"/>
      <c r="E266" s="105"/>
      <c r="F266" s="105"/>
    </row>
    <row r="267" spans="1:6">
      <c r="A267"/>
      <c r="B267" s="224"/>
      <c r="D267" s="105"/>
      <c r="E267" s="105"/>
      <c r="F267" s="105"/>
    </row>
    <row r="268" spans="1:6">
      <c r="A268"/>
      <c r="B268" s="224"/>
      <c r="D268" s="105"/>
      <c r="E268" s="105"/>
      <c r="F268" s="105"/>
    </row>
    <row r="269" spans="1:6">
      <c r="A269"/>
      <c r="B269" s="224"/>
      <c r="D269" s="105"/>
      <c r="E269" s="105"/>
      <c r="F269" s="105"/>
    </row>
    <row r="270" spans="1:6">
      <c r="A270"/>
      <c r="B270" s="224"/>
      <c r="D270" s="105"/>
      <c r="E270" s="105"/>
      <c r="F270" s="105"/>
    </row>
    <row r="271" spans="1:6">
      <c r="A271"/>
      <c r="B271" s="224"/>
      <c r="D271" s="105"/>
      <c r="E271" s="105"/>
      <c r="F271" s="105"/>
    </row>
    <row r="272" spans="1:6">
      <c r="A272"/>
      <c r="B272" s="224"/>
      <c r="D272" s="105"/>
      <c r="E272" s="105"/>
      <c r="F272" s="105"/>
    </row>
    <row r="273" spans="1:6">
      <c r="A273"/>
      <c r="B273" s="224"/>
      <c r="D273" s="105"/>
      <c r="E273" s="105"/>
      <c r="F273" s="105"/>
    </row>
    <row r="274" spans="1:6">
      <c r="A274"/>
      <c r="B274" s="224"/>
      <c r="D274" s="105"/>
      <c r="E274" s="105"/>
      <c r="F274" s="105"/>
    </row>
    <row r="275" spans="1:6">
      <c r="A275"/>
      <c r="B275" s="224"/>
      <c r="D275" s="105"/>
      <c r="E275" s="105"/>
      <c r="F275" s="105"/>
    </row>
    <row r="276" spans="1:6">
      <c r="A276"/>
      <c r="B276" s="224"/>
      <c r="D276" s="105"/>
      <c r="E276" s="105"/>
      <c r="F276" s="105"/>
    </row>
    <row r="277" spans="1:6">
      <c r="A277"/>
      <c r="B277" s="224"/>
      <c r="D277" s="105"/>
      <c r="E277" s="105"/>
      <c r="F277" s="105"/>
    </row>
    <row r="278" spans="1:6">
      <c r="A278"/>
      <c r="B278" s="224"/>
      <c r="D278" s="105"/>
      <c r="E278" s="105"/>
      <c r="F278" s="105"/>
    </row>
    <row r="279" spans="1:6">
      <c r="A279"/>
      <c r="B279" s="224"/>
      <c r="D279" s="105"/>
      <c r="E279" s="105"/>
      <c r="F279" s="105"/>
    </row>
    <row r="280" spans="1:6">
      <c r="A280"/>
      <c r="B280" s="224"/>
      <c r="D280" s="105"/>
      <c r="E280" s="105"/>
      <c r="F280" s="105"/>
    </row>
    <row r="281" spans="1:6">
      <c r="A281"/>
      <c r="B281" s="224"/>
      <c r="D281" s="105"/>
      <c r="E281" s="105"/>
      <c r="F281" s="105"/>
    </row>
    <row r="282" spans="1:6">
      <c r="A282"/>
      <c r="B282" s="224"/>
      <c r="D282" s="105"/>
      <c r="E282" s="105"/>
      <c r="F282" s="105"/>
    </row>
    <row r="283" spans="1:6">
      <c r="A283"/>
      <c r="B283" s="224"/>
      <c r="D283" s="105"/>
      <c r="E283" s="105"/>
      <c r="F283" s="105"/>
    </row>
    <row r="284" spans="1:6">
      <c r="A284"/>
      <c r="B284" s="224"/>
      <c r="D284" s="105"/>
      <c r="E284" s="105"/>
      <c r="F284" s="105"/>
    </row>
    <row r="285" spans="1:6">
      <c r="A285"/>
      <c r="B285" s="224"/>
      <c r="D285" s="105"/>
      <c r="E285" s="105"/>
      <c r="F285" s="105"/>
    </row>
    <row r="286" spans="1:6">
      <c r="A286"/>
      <c r="B286" s="224"/>
      <c r="D286" s="105"/>
      <c r="E286" s="105"/>
      <c r="F286" s="105"/>
    </row>
    <row r="287" spans="1:6">
      <c r="A287"/>
      <c r="B287" s="224"/>
      <c r="D287" s="105"/>
      <c r="E287" s="105"/>
      <c r="F287" s="105"/>
    </row>
    <row r="288" spans="1:6">
      <c r="A288"/>
      <c r="B288" s="223"/>
      <c r="D288" s="105"/>
      <c r="E288" s="105"/>
      <c r="F288" s="105"/>
    </row>
    <row r="289" spans="1:6">
      <c r="A289"/>
      <c r="B289" s="223"/>
      <c r="D289" s="105"/>
      <c r="E289" s="105"/>
      <c r="F289" s="105"/>
    </row>
    <row r="290" spans="1:6">
      <c r="A290"/>
      <c r="B290" s="223"/>
      <c r="D290" s="105"/>
      <c r="E290" s="105"/>
      <c r="F290" s="105"/>
    </row>
    <row r="291" spans="1:6">
      <c r="A291"/>
      <c r="B291" s="223"/>
      <c r="D291" s="105"/>
      <c r="E291" s="105"/>
      <c r="F291" s="105"/>
    </row>
    <row r="292" spans="1:6">
      <c r="A292"/>
      <c r="B292" s="223"/>
      <c r="D292" s="105"/>
      <c r="E292" s="105"/>
      <c r="F292" s="105"/>
    </row>
    <row r="293" spans="1:6">
      <c r="A293"/>
      <c r="B293" s="223"/>
      <c r="D293" s="105"/>
      <c r="E293" s="105"/>
      <c r="F293" s="105"/>
    </row>
    <row r="294" spans="1:6">
      <c r="A294"/>
      <c r="B294" s="223"/>
      <c r="D294" s="105"/>
      <c r="E294" s="105"/>
      <c r="F294" s="105"/>
    </row>
    <row r="295" spans="1:6">
      <c r="A295"/>
      <c r="B295" s="223"/>
      <c r="D295" s="105"/>
      <c r="E295" s="105"/>
      <c r="F295" s="105"/>
    </row>
    <row r="296" spans="1:6">
      <c r="A296"/>
      <c r="B296" s="223"/>
      <c r="D296" s="105"/>
      <c r="E296" s="105"/>
      <c r="F296" s="105"/>
    </row>
    <row r="297" spans="1:6">
      <c r="A297"/>
      <c r="B297" s="223"/>
      <c r="D297" s="105"/>
      <c r="E297" s="105"/>
      <c r="F297" s="105"/>
    </row>
    <row r="298" spans="1:6">
      <c r="A298"/>
      <c r="B298" s="223"/>
      <c r="D298" s="105"/>
      <c r="E298" s="105"/>
      <c r="F298" s="105"/>
    </row>
    <row r="299" spans="1:6">
      <c r="A299"/>
      <c r="B299" s="223"/>
      <c r="D299" s="105"/>
      <c r="E299" s="105"/>
      <c r="F299" s="105"/>
    </row>
    <row r="300" spans="1:6">
      <c r="A300"/>
      <c r="B300" s="223"/>
      <c r="D300" s="105"/>
      <c r="E300" s="105"/>
      <c r="F300" s="105"/>
    </row>
    <row r="301" spans="1:6">
      <c r="A301"/>
      <c r="B301" s="223"/>
      <c r="D301" s="105"/>
      <c r="E301" s="105"/>
      <c r="F301" s="105"/>
    </row>
    <row r="302" spans="1:6">
      <c r="A302"/>
      <c r="B302" s="223"/>
      <c r="D302" s="105"/>
      <c r="E302" s="105"/>
      <c r="F302" s="105"/>
    </row>
    <row r="303" spans="1:6">
      <c r="A303"/>
      <c r="B303" s="223"/>
      <c r="D303" s="105"/>
      <c r="E303" s="105"/>
      <c r="F303" s="105"/>
    </row>
    <row r="304" spans="1:6">
      <c r="A304"/>
      <c r="B304" s="223"/>
      <c r="D304" s="105"/>
      <c r="E304" s="105"/>
      <c r="F304" s="105"/>
    </row>
    <row r="305" spans="1:6">
      <c r="A305"/>
      <c r="B305" s="223"/>
      <c r="D305" s="105"/>
      <c r="E305" s="105"/>
      <c r="F305" s="105"/>
    </row>
    <row r="306" spans="1:6">
      <c r="A306"/>
      <c r="B306" s="223"/>
      <c r="D306" s="105"/>
      <c r="E306" s="105"/>
      <c r="F306" s="105"/>
    </row>
    <row r="307" spans="1:6">
      <c r="A307"/>
      <c r="B307" s="223"/>
      <c r="D307" s="105"/>
      <c r="E307" s="105"/>
      <c r="F307" s="105"/>
    </row>
    <row r="308" spans="1:6">
      <c r="A308"/>
      <c r="B308" s="223"/>
      <c r="D308" s="105"/>
      <c r="E308" s="105"/>
      <c r="F308" s="105"/>
    </row>
    <row r="309" spans="1:6">
      <c r="A309"/>
      <c r="B309" s="223"/>
      <c r="D309" s="105"/>
      <c r="E309" s="105"/>
      <c r="F309" s="105"/>
    </row>
    <row r="310" spans="1:6">
      <c r="A310"/>
      <c r="B310" s="223"/>
      <c r="D310" s="105"/>
      <c r="E310" s="105"/>
      <c r="F310" s="105"/>
    </row>
    <row r="311" spans="1:6">
      <c r="A311"/>
      <c r="B311" s="223"/>
      <c r="D311" s="105"/>
      <c r="E311" s="105"/>
      <c r="F311" s="105"/>
    </row>
    <row r="312" spans="1:6">
      <c r="A312"/>
      <c r="B312" s="223"/>
      <c r="D312" s="105"/>
      <c r="E312" s="105"/>
      <c r="F312" s="105"/>
    </row>
    <row r="313" spans="1:6">
      <c r="A313"/>
      <c r="B313" s="223"/>
      <c r="D313" s="105"/>
      <c r="E313" s="105"/>
      <c r="F313" s="105"/>
    </row>
    <row r="314" spans="1:6">
      <c r="A314"/>
      <c r="B314" s="223"/>
      <c r="D314" s="105"/>
      <c r="E314" s="105"/>
      <c r="F314" s="105"/>
    </row>
    <row r="315" spans="1:6">
      <c r="A315"/>
      <c r="B315" s="223"/>
      <c r="D315" s="105"/>
      <c r="E315" s="105"/>
      <c r="F315" s="105"/>
    </row>
    <row r="316" spans="1:6">
      <c r="A316"/>
      <c r="B316" s="223"/>
      <c r="D316" s="105"/>
      <c r="E316" s="105"/>
      <c r="F316" s="105"/>
    </row>
    <row r="317" spans="1:6">
      <c r="A317"/>
      <c r="B317" s="223"/>
      <c r="D317" s="105"/>
      <c r="E317" s="105"/>
      <c r="F317" s="105"/>
    </row>
    <row r="318" spans="1:6">
      <c r="A318"/>
      <c r="B318" s="223"/>
      <c r="D318" s="105"/>
      <c r="E318" s="105"/>
      <c r="F318" s="105"/>
    </row>
    <row r="319" spans="1:6">
      <c r="A319"/>
      <c r="B319" s="223"/>
      <c r="D319" s="105"/>
      <c r="E319" s="105"/>
      <c r="F319" s="105"/>
    </row>
    <row r="320" spans="1:6">
      <c r="A320"/>
      <c r="B320" s="223"/>
      <c r="D320" s="105"/>
      <c r="E320" s="105"/>
      <c r="F320" s="105"/>
    </row>
    <row r="321" spans="1:6">
      <c r="A321"/>
      <c r="B321" s="223"/>
      <c r="D321" s="105"/>
      <c r="E321" s="105"/>
      <c r="F321" s="105"/>
    </row>
    <row r="322" spans="1:6">
      <c r="A322"/>
      <c r="B322" s="223"/>
      <c r="D322" s="105"/>
      <c r="E322" s="105"/>
      <c r="F322" s="105"/>
    </row>
    <row r="323" spans="1:6">
      <c r="A323"/>
      <c r="B323" s="223"/>
      <c r="D323" s="105"/>
      <c r="E323" s="105"/>
      <c r="F323" s="105"/>
    </row>
    <row r="324" spans="1:6">
      <c r="A324"/>
      <c r="B324" s="223"/>
      <c r="D324" s="105"/>
      <c r="E324" s="105"/>
      <c r="F324" s="105"/>
    </row>
    <row r="325" spans="1:6">
      <c r="A325"/>
      <c r="B325" s="223"/>
      <c r="D325" s="105"/>
      <c r="E325" s="105"/>
      <c r="F325" s="105"/>
    </row>
    <row r="326" spans="1:6">
      <c r="A326"/>
      <c r="B326" s="223"/>
      <c r="D326" s="105"/>
      <c r="E326" s="105"/>
      <c r="F326" s="105"/>
    </row>
    <row r="327" spans="1:6">
      <c r="A327"/>
      <c r="B327" s="223"/>
      <c r="D327" s="105"/>
      <c r="E327" s="105"/>
      <c r="F327" s="105"/>
    </row>
    <row r="328" spans="1:6">
      <c r="A328"/>
      <c r="B328" s="223"/>
      <c r="D328" s="105"/>
      <c r="E328" s="105"/>
      <c r="F328" s="105"/>
    </row>
    <row r="329" spans="1:6">
      <c r="A329"/>
      <c r="B329" s="223"/>
      <c r="D329" s="105"/>
      <c r="E329" s="105"/>
      <c r="F329" s="105"/>
    </row>
    <row r="330" spans="1:6">
      <c r="A330"/>
      <c r="B330" s="223"/>
      <c r="D330" s="105"/>
      <c r="E330" s="105"/>
      <c r="F330" s="105"/>
    </row>
    <row r="331" spans="1:6">
      <c r="A331"/>
      <c r="B331" s="223"/>
      <c r="D331" s="105"/>
      <c r="E331" s="105"/>
      <c r="F331" s="105"/>
    </row>
    <row r="332" spans="1:6">
      <c r="A332"/>
      <c r="B332" s="223"/>
      <c r="D332" s="105"/>
      <c r="E332" s="105"/>
      <c r="F332" s="105"/>
    </row>
    <row r="333" spans="1:6">
      <c r="A333"/>
      <c r="B333" s="223"/>
      <c r="D333" s="105"/>
      <c r="E333" s="105"/>
      <c r="F333" s="105"/>
    </row>
    <row r="334" spans="1:6">
      <c r="A334"/>
      <c r="B334" s="223"/>
      <c r="D334" s="105"/>
      <c r="E334" s="105"/>
      <c r="F334" s="105"/>
    </row>
    <row r="335" spans="1:6">
      <c r="A335"/>
      <c r="B335" s="223"/>
      <c r="D335" s="105"/>
      <c r="E335" s="105"/>
      <c r="F335" s="105"/>
    </row>
    <row r="336" spans="1:6">
      <c r="A336"/>
      <c r="B336" s="223"/>
      <c r="D336" s="105"/>
      <c r="E336" s="105"/>
      <c r="F336" s="105"/>
    </row>
    <row r="337" spans="1:6">
      <c r="A337"/>
      <c r="B337" s="223"/>
      <c r="D337" s="105"/>
      <c r="E337" s="105"/>
      <c r="F337" s="105"/>
    </row>
    <row r="338" spans="1:6">
      <c r="A338"/>
      <c r="B338" s="223"/>
      <c r="D338" s="105"/>
      <c r="E338" s="105"/>
      <c r="F338" s="105"/>
    </row>
    <row r="339" spans="1:6">
      <c r="A339"/>
      <c r="B339" s="223"/>
      <c r="D339" s="105"/>
      <c r="E339" s="105"/>
      <c r="F339" s="105"/>
    </row>
    <row r="340" spans="1:6">
      <c r="A340"/>
      <c r="B340" s="223"/>
      <c r="D340" s="105"/>
      <c r="E340" s="105"/>
      <c r="F340" s="105"/>
    </row>
    <row r="341" spans="1:6">
      <c r="A341"/>
      <c r="B341" s="223"/>
      <c r="D341" s="105"/>
      <c r="E341" s="105"/>
      <c r="F341" s="105"/>
    </row>
    <row r="342" spans="1:6">
      <c r="A342"/>
      <c r="B342" s="223"/>
      <c r="D342" s="105"/>
      <c r="E342" s="105"/>
      <c r="F342" s="105"/>
    </row>
    <row r="343" spans="1:6">
      <c r="A343"/>
      <c r="B343" s="223"/>
      <c r="D343" s="105"/>
      <c r="E343" s="105"/>
      <c r="F343" s="105"/>
    </row>
    <row r="344" spans="1:6">
      <c r="A344"/>
      <c r="B344" s="223"/>
      <c r="D344" s="105"/>
      <c r="E344" s="105"/>
      <c r="F344" s="105"/>
    </row>
    <row r="345" spans="1:6">
      <c r="A345"/>
      <c r="B345" s="223"/>
      <c r="D345" s="105"/>
      <c r="E345" s="105"/>
      <c r="F345" s="105"/>
    </row>
    <row r="346" spans="1:6">
      <c r="A346"/>
      <c r="B346" s="223"/>
      <c r="D346" s="105"/>
      <c r="E346" s="105"/>
      <c r="F346" s="105"/>
    </row>
    <row r="347" spans="1:6">
      <c r="A347"/>
      <c r="B347" s="223"/>
      <c r="D347" s="105"/>
      <c r="E347" s="105"/>
      <c r="F347" s="105"/>
    </row>
    <row r="348" spans="1:6">
      <c r="A348"/>
      <c r="B348" s="223"/>
      <c r="D348" s="105"/>
      <c r="E348" s="105"/>
      <c r="F348" s="105"/>
    </row>
    <row r="349" spans="1:6">
      <c r="A349"/>
      <c r="B349" s="223"/>
      <c r="D349" s="105"/>
      <c r="E349" s="105"/>
      <c r="F349" s="105"/>
    </row>
    <row r="350" spans="1:6">
      <c r="A350"/>
      <c r="B350" s="223"/>
      <c r="D350" s="105"/>
      <c r="E350" s="105"/>
      <c r="F350" s="105"/>
    </row>
    <row r="351" spans="1:6">
      <c r="A351"/>
      <c r="B351" s="223"/>
      <c r="D351" s="105"/>
      <c r="E351" s="105"/>
      <c r="F351" s="105"/>
    </row>
    <row r="352" spans="1:6">
      <c r="A352"/>
      <c r="B352" s="223"/>
      <c r="D352" s="105"/>
      <c r="E352" s="105"/>
      <c r="F352" s="105"/>
    </row>
    <row r="353" spans="1:6">
      <c r="A353"/>
      <c r="B353" s="223"/>
      <c r="D353" s="105"/>
      <c r="E353" s="105"/>
      <c r="F353" s="105"/>
    </row>
    <row r="354" spans="1:6">
      <c r="A354"/>
      <c r="B354" s="223"/>
      <c r="D354" s="105"/>
      <c r="E354" s="105"/>
      <c r="F354" s="105"/>
    </row>
    <row r="355" spans="1:6">
      <c r="A355"/>
      <c r="B355" s="223"/>
      <c r="D355" s="105"/>
      <c r="E355" s="105"/>
      <c r="F355" s="105"/>
    </row>
    <row r="356" spans="1:6">
      <c r="A356"/>
      <c r="B356" s="223"/>
      <c r="D356" s="105"/>
      <c r="E356" s="105"/>
      <c r="F356" s="105"/>
    </row>
    <row r="357" spans="1:6">
      <c r="A357"/>
      <c r="B357" s="223"/>
      <c r="D357" s="105"/>
      <c r="E357" s="105"/>
      <c r="F357" s="105"/>
    </row>
    <row r="358" spans="1:6">
      <c r="A358"/>
      <c r="B358" s="223"/>
      <c r="D358" s="105"/>
      <c r="E358" s="105"/>
      <c r="F358" s="105"/>
    </row>
    <row r="359" spans="1:6">
      <c r="A359"/>
      <c r="B359" s="223"/>
      <c r="D359" s="105"/>
      <c r="E359" s="105"/>
      <c r="F359" s="105"/>
    </row>
    <row r="360" spans="1:6">
      <c r="A360"/>
      <c r="B360" s="223"/>
      <c r="D360" s="105"/>
      <c r="E360" s="105"/>
      <c r="F360" s="105"/>
    </row>
    <row r="361" spans="1:6">
      <c r="A361"/>
      <c r="B361" s="223"/>
      <c r="D361" s="105"/>
      <c r="E361" s="105"/>
      <c r="F361" s="105"/>
    </row>
    <row r="362" spans="1:6">
      <c r="A362"/>
      <c r="B362" s="223"/>
      <c r="D362" s="105"/>
      <c r="E362" s="105"/>
      <c r="F362" s="105"/>
    </row>
    <row r="363" spans="1:6">
      <c r="A363"/>
      <c r="B363" s="223"/>
      <c r="D363" s="105"/>
      <c r="E363" s="105"/>
      <c r="F363" s="105"/>
    </row>
    <row r="364" spans="1:6">
      <c r="A364"/>
      <c r="B364" s="223"/>
      <c r="D364" s="105"/>
      <c r="E364" s="105"/>
      <c r="F364" s="105"/>
    </row>
    <row r="365" spans="1:6">
      <c r="A365"/>
      <c r="B365" s="223"/>
      <c r="D365" s="105"/>
      <c r="E365" s="105"/>
      <c r="F365" s="105"/>
    </row>
    <row r="366" spans="1:6">
      <c r="A366"/>
      <c r="B366" s="223"/>
      <c r="D366" s="105"/>
      <c r="E366" s="105"/>
      <c r="F366" s="105"/>
    </row>
    <row r="367" spans="1:6">
      <c r="A367"/>
      <c r="B367" s="223"/>
      <c r="D367" s="105"/>
      <c r="E367" s="105"/>
      <c r="F367" s="105"/>
    </row>
    <row r="368" spans="1:6">
      <c r="A368"/>
      <c r="B368" s="223"/>
      <c r="D368" s="105"/>
      <c r="E368" s="105"/>
      <c r="F368" s="105"/>
    </row>
    <row r="369" spans="1:6">
      <c r="A369"/>
      <c r="B369" s="223"/>
      <c r="D369" s="105"/>
      <c r="E369" s="105"/>
      <c r="F369" s="105"/>
    </row>
    <row r="370" spans="1:6">
      <c r="A370"/>
      <c r="B370" s="223"/>
      <c r="D370" s="105"/>
      <c r="E370" s="105"/>
      <c r="F370" s="105"/>
    </row>
    <row r="371" spans="1:6">
      <c r="A371"/>
      <c r="B371" s="223"/>
      <c r="D371" s="105"/>
      <c r="E371" s="105"/>
      <c r="F371" s="105"/>
    </row>
    <row r="372" spans="1:6">
      <c r="A372"/>
      <c r="B372" s="223"/>
      <c r="D372" s="105"/>
      <c r="E372" s="105"/>
      <c r="F372" s="105"/>
    </row>
    <row r="373" spans="1:6">
      <c r="A373"/>
      <c r="B373" s="223"/>
      <c r="D373" s="105"/>
      <c r="E373" s="105"/>
      <c r="F373" s="105"/>
    </row>
    <row r="374" spans="1:6">
      <c r="A374"/>
      <c r="B374" s="223"/>
      <c r="D374" s="105"/>
      <c r="E374" s="105"/>
      <c r="F374" s="105"/>
    </row>
    <row r="375" spans="1:6">
      <c r="A375"/>
      <c r="B375" s="223"/>
      <c r="D375" s="105"/>
      <c r="E375" s="105"/>
      <c r="F375" s="105"/>
    </row>
    <row r="376" spans="1:6">
      <c r="A376"/>
      <c r="B376" s="223"/>
      <c r="D376" s="105"/>
      <c r="E376" s="105"/>
      <c r="F376" s="105"/>
    </row>
    <row r="377" spans="1:6">
      <c r="A377"/>
      <c r="B377" s="223"/>
      <c r="D377" s="105"/>
      <c r="E377" s="105"/>
      <c r="F377" s="105"/>
    </row>
    <row r="378" spans="1:6">
      <c r="A378"/>
      <c r="B378" s="223"/>
      <c r="D378" s="105"/>
      <c r="E378" s="105"/>
      <c r="F378" s="105"/>
    </row>
    <row r="379" spans="1:6">
      <c r="A379"/>
      <c r="B379" s="223"/>
      <c r="D379" s="105"/>
      <c r="E379" s="105"/>
      <c r="F379" s="105"/>
    </row>
    <row r="380" spans="1:6">
      <c r="A380"/>
      <c r="B380" s="223"/>
      <c r="D380" s="105"/>
      <c r="E380" s="105"/>
      <c r="F380" s="105"/>
    </row>
    <row r="381" spans="1:6">
      <c r="A381"/>
      <c r="B381" s="223"/>
      <c r="D381" s="105"/>
      <c r="E381" s="105"/>
      <c r="F381" s="105"/>
    </row>
    <row r="382" spans="1:6">
      <c r="A382"/>
      <c r="B382" s="223"/>
      <c r="D382" s="105"/>
      <c r="E382" s="105"/>
      <c r="F382" s="105"/>
    </row>
    <row r="383" spans="1:6">
      <c r="A383"/>
      <c r="B383" s="223"/>
      <c r="D383" s="105"/>
      <c r="E383" s="105"/>
      <c r="F383" s="105"/>
    </row>
    <row r="384" spans="1:6">
      <c r="A384"/>
      <c r="B384" s="223"/>
      <c r="D384" s="105"/>
      <c r="E384" s="105"/>
      <c r="F384" s="105"/>
    </row>
    <row r="385" spans="1:6">
      <c r="A385"/>
      <c r="B385" s="223"/>
      <c r="D385" s="105"/>
      <c r="E385" s="105"/>
      <c r="F385" s="105"/>
    </row>
    <row r="386" spans="1:6">
      <c r="A386"/>
      <c r="B386" s="223"/>
      <c r="D386" s="105"/>
      <c r="E386" s="105"/>
      <c r="F386" s="105"/>
    </row>
    <row r="387" spans="1:6">
      <c r="A387"/>
      <c r="B387" s="223"/>
      <c r="D387" s="105"/>
      <c r="E387" s="105"/>
      <c r="F387" s="105"/>
    </row>
    <row r="388" spans="1:6">
      <c r="A388"/>
      <c r="B388" s="223"/>
      <c r="D388" s="105"/>
      <c r="E388" s="105"/>
      <c r="F388" s="105"/>
    </row>
    <row r="389" spans="1:6">
      <c r="A389"/>
      <c r="B389" s="223"/>
      <c r="D389" s="105"/>
      <c r="E389" s="105"/>
      <c r="F389" s="105"/>
    </row>
    <row r="390" spans="1:6">
      <c r="A390"/>
      <c r="B390" s="223"/>
      <c r="D390" s="105"/>
      <c r="E390" s="105"/>
      <c r="F390" s="105"/>
    </row>
    <row r="391" spans="1:6">
      <c r="A391"/>
      <c r="B391" s="223"/>
      <c r="D391" s="105"/>
      <c r="E391" s="105"/>
      <c r="F391" s="105"/>
    </row>
    <row r="392" spans="1:6">
      <c r="A392"/>
      <c r="B392" s="223"/>
      <c r="D392" s="105"/>
      <c r="E392" s="105"/>
      <c r="F392" s="105"/>
    </row>
    <row r="393" spans="1:6">
      <c r="A393"/>
      <c r="B393" s="223"/>
      <c r="D393" s="105"/>
      <c r="E393" s="105"/>
      <c r="F393" s="105"/>
    </row>
    <row r="394" spans="1:6">
      <c r="A394"/>
      <c r="B394" s="223"/>
      <c r="D394" s="105"/>
      <c r="E394" s="105"/>
      <c r="F394" s="105"/>
    </row>
    <row r="395" spans="1:6">
      <c r="A395"/>
      <c r="B395" s="223"/>
      <c r="D395" s="105"/>
      <c r="E395" s="105"/>
      <c r="F395" s="105"/>
    </row>
    <row r="396" spans="1:6">
      <c r="A396"/>
      <c r="B396" s="223"/>
      <c r="D396" s="105"/>
      <c r="E396" s="105"/>
      <c r="F396" s="105"/>
    </row>
    <row r="397" spans="1:6">
      <c r="A397"/>
      <c r="B397" s="223"/>
      <c r="D397" s="105"/>
      <c r="E397" s="105"/>
      <c r="F397" s="105"/>
    </row>
    <row r="398" spans="1:6">
      <c r="A398"/>
      <c r="B398" s="223"/>
      <c r="D398" s="105"/>
      <c r="E398" s="105"/>
      <c r="F398" s="105"/>
    </row>
    <row r="399" spans="1:6">
      <c r="A399"/>
      <c r="B399" s="223"/>
      <c r="D399" s="105"/>
      <c r="E399" s="105"/>
      <c r="F399" s="105"/>
    </row>
    <row r="400" spans="1:6">
      <c r="A400"/>
      <c r="B400" s="223"/>
      <c r="D400" s="105"/>
      <c r="E400" s="105"/>
      <c r="F400" s="105"/>
    </row>
    <row r="401" spans="1:6">
      <c r="A401"/>
      <c r="B401" s="223"/>
      <c r="D401" s="105"/>
      <c r="E401" s="105"/>
      <c r="F401" s="105"/>
    </row>
    <row r="402" spans="1:6">
      <c r="A402"/>
      <c r="B402" s="223"/>
      <c r="D402" s="105"/>
      <c r="E402" s="105"/>
      <c r="F402" s="105"/>
    </row>
    <row r="403" spans="1:6">
      <c r="A403"/>
      <c r="B403" s="223"/>
      <c r="D403" s="105"/>
      <c r="E403" s="105"/>
      <c r="F403" s="105"/>
    </row>
    <row r="404" spans="1:6">
      <c r="A404"/>
      <c r="B404" s="223"/>
      <c r="D404" s="105"/>
      <c r="E404" s="105"/>
      <c r="F404" s="105"/>
    </row>
    <row r="405" spans="1:6">
      <c r="A405"/>
      <c r="B405" s="223"/>
      <c r="D405" s="105"/>
      <c r="E405" s="105"/>
      <c r="F405" s="105"/>
    </row>
    <row r="406" spans="1:6">
      <c r="A406"/>
      <c r="B406" s="223"/>
      <c r="D406" s="105"/>
      <c r="E406" s="105"/>
      <c r="F406" s="105"/>
    </row>
    <row r="407" spans="1:6">
      <c r="A407"/>
      <c r="B407" s="223"/>
      <c r="D407" s="105"/>
      <c r="E407" s="105"/>
      <c r="F407" s="105"/>
    </row>
    <row r="408" spans="1:6">
      <c r="A408"/>
      <c r="B408" s="223"/>
      <c r="D408" s="105"/>
      <c r="E408" s="105"/>
      <c r="F408" s="105"/>
    </row>
    <row r="409" spans="1:6">
      <c r="A409"/>
      <c r="B409" s="223"/>
      <c r="D409" s="105"/>
      <c r="E409" s="105"/>
      <c r="F409" s="105"/>
    </row>
    <row r="410" spans="1:6">
      <c r="A410"/>
      <c r="B410" s="223"/>
      <c r="D410" s="105"/>
      <c r="E410" s="105"/>
      <c r="F410" s="105"/>
    </row>
    <row r="411" spans="1:6">
      <c r="A411"/>
      <c r="B411" s="223"/>
      <c r="D411" s="105"/>
      <c r="E411" s="105"/>
      <c r="F411" s="105"/>
    </row>
    <row r="412" spans="1:6">
      <c r="A412"/>
      <c r="B412" s="223"/>
      <c r="D412" s="105"/>
      <c r="E412" s="105"/>
      <c r="F412" s="105"/>
    </row>
    <row r="413" spans="1:6">
      <c r="A413"/>
      <c r="B413" s="223"/>
      <c r="D413" s="105"/>
      <c r="E413" s="105"/>
      <c r="F413" s="105"/>
    </row>
    <row r="414" spans="1:6">
      <c r="A414"/>
      <c r="B414" s="223"/>
      <c r="D414" s="105"/>
      <c r="E414" s="105"/>
      <c r="F414" s="105"/>
    </row>
    <row r="415" spans="1:6">
      <c r="A415"/>
      <c r="B415" s="223"/>
      <c r="D415" s="105"/>
      <c r="E415" s="105"/>
      <c r="F415" s="105"/>
    </row>
    <row r="416" spans="1:6">
      <c r="A416"/>
      <c r="B416" s="223"/>
      <c r="D416" s="105"/>
      <c r="E416" s="105"/>
      <c r="F416" s="105"/>
    </row>
    <row r="417" spans="1:6">
      <c r="A417"/>
      <c r="B417" s="223"/>
      <c r="D417" s="105"/>
      <c r="E417" s="105"/>
      <c r="F417" s="105"/>
    </row>
    <row r="418" spans="1:6">
      <c r="A418"/>
      <c r="B418" s="223"/>
      <c r="D418" s="105"/>
      <c r="E418" s="105"/>
      <c r="F418" s="105"/>
    </row>
    <row r="419" spans="1:6">
      <c r="A419"/>
      <c r="B419" s="223"/>
      <c r="D419" s="105"/>
      <c r="E419" s="105"/>
      <c r="F419" s="105"/>
    </row>
    <row r="420" spans="1:6">
      <c r="A420"/>
      <c r="B420" s="223"/>
      <c r="D420" s="105"/>
      <c r="E420" s="105"/>
      <c r="F420" s="105"/>
    </row>
    <row r="421" spans="1:6">
      <c r="A421"/>
      <c r="B421" s="223"/>
      <c r="D421" s="105"/>
      <c r="E421" s="105"/>
      <c r="F421" s="105"/>
    </row>
    <row r="422" spans="1:6">
      <c r="A422"/>
      <c r="B422" s="223"/>
      <c r="D422" s="105"/>
      <c r="E422" s="105"/>
      <c r="F422" s="105"/>
    </row>
    <row r="423" spans="1:6">
      <c r="A423"/>
      <c r="B423" s="223"/>
      <c r="D423" s="105"/>
      <c r="E423" s="105"/>
      <c r="F423" s="105"/>
    </row>
    <row r="424" spans="1:6">
      <c r="A424"/>
      <c r="B424" s="223"/>
      <c r="D424" s="105"/>
      <c r="E424" s="105"/>
      <c r="F424" s="105"/>
    </row>
    <row r="425" spans="1:6">
      <c r="A425"/>
      <c r="B425" s="223"/>
      <c r="D425" s="105"/>
      <c r="E425" s="105"/>
      <c r="F425" s="105"/>
    </row>
    <row r="426" spans="1:6">
      <c r="A426"/>
      <c r="B426" s="223"/>
      <c r="D426" s="105"/>
      <c r="E426" s="105"/>
      <c r="F426" s="105"/>
    </row>
    <row r="427" spans="1:6">
      <c r="A427"/>
      <c r="B427" s="223"/>
      <c r="D427" s="105"/>
      <c r="E427" s="105"/>
      <c r="F427" s="105"/>
    </row>
    <row r="428" spans="1:6">
      <c r="A428"/>
      <c r="B428" s="223"/>
      <c r="D428" s="105"/>
      <c r="E428" s="105"/>
      <c r="F428" s="105"/>
    </row>
    <row r="429" spans="1:6">
      <c r="A429"/>
      <c r="B429" s="223"/>
      <c r="D429" s="105"/>
      <c r="E429" s="105"/>
      <c r="F429" s="105"/>
    </row>
    <row r="430" spans="1:6">
      <c r="A430"/>
      <c r="B430" s="223"/>
      <c r="D430" s="105"/>
      <c r="E430" s="105"/>
      <c r="F430" s="105"/>
    </row>
    <row r="431" spans="1:6">
      <c r="A431"/>
      <c r="B431" s="223"/>
      <c r="D431" s="105"/>
      <c r="E431" s="105"/>
      <c r="F431" s="105"/>
    </row>
    <row r="432" spans="1:6">
      <c r="A432"/>
      <c r="B432" s="223"/>
      <c r="D432" s="105"/>
      <c r="E432" s="105"/>
      <c r="F432" s="105"/>
    </row>
    <row r="433" spans="1:6">
      <c r="A433"/>
      <c r="B433" s="223"/>
      <c r="D433" s="105"/>
      <c r="E433" s="105"/>
      <c r="F433" s="105"/>
    </row>
    <row r="434" spans="1:6">
      <c r="A434"/>
      <c r="B434" s="223"/>
      <c r="D434" s="105"/>
      <c r="E434" s="105"/>
      <c r="F434" s="105"/>
    </row>
    <row r="435" spans="1:6">
      <c r="A435"/>
      <c r="B435" s="223"/>
      <c r="D435" s="105"/>
      <c r="E435" s="105"/>
      <c r="F435" s="105"/>
    </row>
    <row r="436" spans="1:6">
      <c r="A436"/>
      <c r="B436" s="223"/>
      <c r="D436" s="105"/>
      <c r="E436" s="105"/>
      <c r="F436" s="105"/>
    </row>
    <row r="437" spans="1:6">
      <c r="A437"/>
      <c r="B437" s="223"/>
      <c r="D437" s="105"/>
      <c r="E437" s="105"/>
      <c r="F437" s="105"/>
    </row>
    <row r="438" spans="1:6">
      <c r="A438"/>
      <c r="B438" s="223"/>
      <c r="D438" s="105"/>
      <c r="E438" s="105"/>
      <c r="F438" s="105"/>
    </row>
    <row r="439" spans="1:6">
      <c r="A439"/>
      <c r="B439" s="223"/>
      <c r="D439" s="105"/>
      <c r="E439" s="105"/>
      <c r="F439" s="105"/>
    </row>
    <row r="440" spans="1:6">
      <c r="A440"/>
      <c r="B440" s="223"/>
      <c r="D440" s="105"/>
      <c r="E440" s="105"/>
      <c r="F440" s="105"/>
    </row>
    <row r="441" spans="1:6">
      <c r="A441"/>
      <c r="B441" s="223"/>
      <c r="D441" s="105"/>
      <c r="E441" s="105"/>
      <c r="F441" s="105"/>
    </row>
    <row r="442" spans="1:6">
      <c r="A442"/>
      <c r="B442" s="223"/>
      <c r="D442" s="105"/>
      <c r="E442" s="105"/>
      <c r="F442" s="105"/>
    </row>
    <row r="443" spans="1:6">
      <c r="A443"/>
      <c r="B443" s="223"/>
      <c r="D443" s="105"/>
      <c r="E443" s="105"/>
      <c r="F443" s="105"/>
    </row>
    <row r="444" spans="1:6">
      <c r="A444"/>
      <c r="B444" s="223"/>
      <c r="D444" s="105"/>
      <c r="E444" s="105"/>
      <c r="F444" s="105"/>
    </row>
    <row r="445" spans="1:6">
      <c r="A445"/>
      <c r="B445" s="223"/>
      <c r="D445" s="105"/>
      <c r="E445" s="105"/>
      <c r="F445" s="105"/>
    </row>
    <row r="446" spans="1:6">
      <c r="A446"/>
      <c r="B446" s="223"/>
      <c r="D446" s="105"/>
      <c r="E446" s="105"/>
      <c r="F446" s="105"/>
    </row>
    <row r="447" spans="1:6">
      <c r="A447"/>
      <c r="B447" s="223"/>
      <c r="D447" s="105"/>
      <c r="E447" s="105"/>
      <c r="F447" s="105"/>
    </row>
    <row r="448" spans="1:6">
      <c r="A448"/>
      <c r="B448" s="223"/>
      <c r="D448" s="105"/>
      <c r="E448" s="105"/>
      <c r="F448" s="105"/>
    </row>
    <row r="449" spans="1:6">
      <c r="A449"/>
      <c r="B449" s="223"/>
      <c r="D449" s="105"/>
      <c r="E449" s="105"/>
      <c r="F449" s="105"/>
    </row>
    <row r="450" spans="1:6">
      <c r="A450"/>
      <c r="B450" s="223"/>
      <c r="D450" s="105"/>
      <c r="E450" s="105"/>
      <c r="F450" s="105"/>
    </row>
    <row r="451" spans="1:6">
      <c r="A451"/>
      <c r="B451" s="223"/>
      <c r="D451" s="105"/>
      <c r="E451" s="105"/>
      <c r="F451" s="105"/>
    </row>
    <row r="452" spans="1:6">
      <c r="A452"/>
      <c r="B452" s="223"/>
      <c r="D452" s="105"/>
      <c r="E452" s="105"/>
      <c r="F452" s="105"/>
    </row>
    <row r="453" spans="1:6">
      <c r="A453"/>
      <c r="B453" s="223"/>
      <c r="D453" s="105"/>
      <c r="E453" s="105"/>
      <c r="F453" s="105"/>
    </row>
    <row r="454" spans="1:6">
      <c r="A454"/>
      <c r="B454" s="223"/>
      <c r="D454" s="105"/>
      <c r="E454" s="105"/>
      <c r="F454" s="105"/>
    </row>
    <row r="455" spans="1:6">
      <c r="A455"/>
      <c r="B455" s="223"/>
      <c r="D455" s="105"/>
      <c r="E455" s="105"/>
      <c r="F455" s="105"/>
    </row>
    <row r="456" spans="1:6">
      <c r="A456"/>
      <c r="B456" s="223"/>
      <c r="D456" s="105"/>
      <c r="E456" s="105"/>
      <c r="F456" s="105"/>
    </row>
    <row r="457" spans="1:6">
      <c r="A457"/>
      <c r="B457" s="223"/>
      <c r="D457" s="105"/>
      <c r="E457" s="105"/>
      <c r="F457" s="105"/>
    </row>
    <row r="458" spans="1:6">
      <c r="A458"/>
      <c r="B458" s="223"/>
      <c r="D458" s="105"/>
      <c r="E458" s="105"/>
      <c r="F458" s="105"/>
    </row>
    <row r="459" spans="1:6">
      <c r="A459"/>
      <c r="B459" s="223"/>
      <c r="D459" s="105"/>
      <c r="E459" s="105"/>
      <c r="F459" s="105"/>
    </row>
    <row r="460" spans="1:6">
      <c r="A460"/>
      <c r="B460" s="223"/>
      <c r="D460" s="105"/>
      <c r="E460" s="105"/>
      <c r="F460" s="105"/>
    </row>
    <row r="461" spans="1:6">
      <c r="A461"/>
      <c r="B461" s="223"/>
      <c r="D461" s="105"/>
      <c r="E461" s="105"/>
      <c r="F461" s="105"/>
    </row>
    <row r="462" spans="1:6">
      <c r="A462"/>
      <c r="B462" s="223"/>
      <c r="D462" s="105"/>
      <c r="E462" s="105"/>
      <c r="F462" s="105"/>
    </row>
    <row r="463" spans="1:6">
      <c r="A463"/>
      <c r="B463" s="223"/>
      <c r="D463" s="105"/>
      <c r="E463" s="105"/>
      <c r="F463" s="105"/>
    </row>
    <row r="464" spans="1:6">
      <c r="A464"/>
      <c r="B464" s="223"/>
      <c r="D464" s="105"/>
      <c r="E464" s="105"/>
      <c r="F464" s="105"/>
    </row>
    <row r="465" spans="1:6">
      <c r="A465"/>
      <c r="B465" s="223"/>
      <c r="D465" s="105"/>
      <c r="E465" s="105"/>
      <c r="F465" s="105"/>
    </row>
    <row r="466" spans="1:6">
      <c r="A466"/>
      <c r="B466" s="223"/>
      <c r="D466" s="105"/>
      <c r="E466" s="105"/>
      <c r="F466" s="105"/>
    </row>
    <row r="467" spans="1:6">
      <c r="A467"/>
      <c r="B467" s="223"/>
      <c r="D467" s="105"/>
      <c r="E467" s="105"/>
      <c r="F467" s="105"/>
    </row>
    <row r="468" spans="1:6">
      <c r="A468"/>
      <c r="B468" s="223"/>
      <c r="D468" s="105"/>
      <c r="E468" s="105"/>
      <c r="F468" s="105"/>
    </row>
    <row r="469" spans="1:6">
      <c r="A469"/>
      <c r="B469" s="223"/>
      <c r="D469" s="105"/>
      <c r="E469" s="105"/>
      <c r="F469" s="105"/>
    </row>
    <row r="470" spans="1:6">
      <c r="A470"/>
      <c r="B470" s="223"/>
      <c r="D470" s="105"/>
      <c r="E470" s="105"/>
      <c r="F470" s="105"/>
    </row>
    <row r="471" spans="1:6">
      <c r="A471"/>
      <c r="B471" s="223"/>
      <c r="D471" s="105"/>
      <c r="E471" s="105"/>
      <c r="F471" s="105"/>
    </row>
    <row r="472" spans="1:6">
      <c r="A472"/>
      <c r="B472" s="223"/>
      <c r="D472" s="105"/>
      <c r="E472" s="105"/>
      <c r="F472" s="105"/>
    </row>
    <row r="473" spans="1:6">
      <c r="A473"/>
      <c r="B473" s="223"/>
      <c r="D473" s="105"/>
      <c r="E473" s="105"/>
      <c r="F473" s="105"/>
    </row>
    <row r="474" spans="1:6">
      <c r="A474"/>
      <c r="B474" s="223"/>
      <c r="D474" s="105"/>
      <c r="E474" s="105"/>
      <c r="F474" s="105"/>
    </row>
    <row r="475" spans="1:6">
      <c r="A475"/>
      <c r="B475" s="223"/>
      <c r="D475" s="105"/>
      <c r="E475" s="105"/>
      <c r="F475" s="105"/>
    </row>
    <row r="476" spans="1:6">
      <c r="A476"/>
      <c r="B476" s="223"/>
      <c r="D476" s="105"/>
      <c r="E476" s="105"/>
      <c r="F476" s="105"/>
    </row>
    <row r="477" spans="1:6">
      <c r="A477"/>
      <c r="B477" s="223"/>
      <c r="D477" s="105"/>
      <c r="E477" s="105"/>
      <c r="F477" s="105"/>
    </row>
    <row r="478" spans="1:6">
      <c r="A478"/>
      <c r="B478" s="223"/>
      <c r="D478" s="105"/>
      <c r="E478" s="105"/>
      <c r="F478" s="105"/>
    </row>
    <row r="479" spans="1:6">
      <c r="A479"/>
      <c r="B479" s="223"/>
      <c r="D479" s="105"/>
      <c r="E479" s="105"/>
      <c r="F479" s="105"/>
    </row>
    <row r="480" spans="1:6">
      <c r="A480"/>
      <c r="B480" s="223"/>
      <c r="D480" s="105"/>
      <c r="E480" s="105"/>
      <c r="F480" s="105"/>
    </row>
    <row r="481" spans="1:6">
      <c r="A481"/>
      <c r="B481" s="223"/>
      <c r="D481" s="105"/>
      <c r="E481" s="105"/>
      <c r="F481" s="105"/>
    </row>
    <row r="482" spans="1:6">
      <c r="A482"/>
      <c r="B482" s="223"/>
      <c r="D482" s="105"/>
      <c r="E482" s="105"/>
      <c r="F482" s="105"/>
    </row>
    <row r="483" spans="1:6">
      <c r="A483"/>
      <c r="B483" s="223"/>
      <c r="D483" s="105"/>
      <c r="E483" s="105"/>
      <c r="F483" s="105"/>
    </row>
    <row r="484" spans="1:6">
      <c r="A484"/>
      <c r="B484" s="223"/>
      <c r="D484" s="105"/>
      <c r="E484" s="105"/>
      <c r="F484" s="105"/>
    </row>
    <row r="485" spans="1:6">
      <c r="A485"/>
      <c r="B485" s="223"/>
      <c r="D485" s="105"/>
      <c r="E485" s="105"/>
      <c r="F485" s="105"/>
    </row>
    <row r="486" spans="1:6">
      <c r="A486"/>
      <c r="B486" s="223"/>
      <c r="D486" s="105"/>
      <c r="E486" s="105"/>
      <c r="F486" s="105"/>
    </row>
    <row r="487" spans="1:6">
      <c r="A487"/>
      <c r="B487" s="223"/>
      <c r="D487" s="105"/>
      <c r="E487" s="105"/>
      <c r="F487" s="105"/>
    </row>
    <row r="488" spans="1:6">
      <c r="A488"/>
      <c r="B488" s="223"/>
      <c r="D488" s="105"/>
      <c r="E488" s="105"/>
      <c r="F488" s="105"/>
    </row>
    <row r="489" spans="1:6">
      <c r="A489"/>
      <c r="B489" s="223"/>
      <c r="D489" s="105"/>
      <c r="E489" s="105"/>
      <c r="F489" s="105"/>
    </row>
    <row r="490" spans="1:6">
      <c r="A490"/>
      <c r="B490" s="223"/>
      <c r="D490" s="105"/>
      <c r="E490" s="105"/>
      <c r="F490" s="105"/>
    </row>
    <row r="491" spans="1:6">
      <c r="A491"/>
      <c r="B491" s="223"/>
      <c r="D491" s="105"/>
      <c r="E491" s="105"/>
      <c r="F491" s="105"/>
    </row>
    <row r="492" spans="1:6">
      <c r="A492"/>
      <c r="B492" s="223"/>
      <c r="D492" s="105"/>
      <c r="E492" s="105"/>
      <c r="F492" s="105"/>
    </row>
    <row r="493" spans="1:6">
      <c r="A493"/>
      <c r="B493" s="223"/>
      <c r="D493" s="105"/>
      <c r="E493" s="105"/>
      <c r="F493" s="105"/>
    </row>
    <row r="494" spans="1:6">
      <c r="A494"/>
      <c r="B494" s="223"/>
      <c r="D494" s="105"/>
      <c r="E494" s="105"/>
      <c r="F494" s="105"/>
    </row>
    <row r="495" spans="1:6">
      <c r="A495"/>
      <c r="B495" s="223"/>
      <c r="D495" s="105"/>
      <c r="E495" s="105"/>
      <c r="F495" s="105"/>
    </row>
    <row r="496" spans="1:6">
      <c r="A496"/>
      <c r="B496" s="223"/>
      <c r="D496" s="105"/>
      <c r="E496" s="105"/>
      <c r="F496" s="105"/>
    </row>
    <row r="497" spans="1:6">
      <c r="A497"/>
      <c r="B497" s="223"/>
      <c r="D497" s="105"/>
      <c r="E497" s="105"/>
      <c r="F497" s="105"/>
    </row>
    <row r="498" spans="1:6">
      <c r="A498"/>
      <c r="B498" s="223"/>
      <c r="D498" s="105"/>
      <c r="E498" s="105"/>
      <c r="F498" s="105"/>
    </row>
    <row r="499" spans="1:6">
      <c r="A499"/>
      <c r="B499" s="223"/>
      <c r="D499" s="105"/>
      <c r="E499" s="105"/>
      <c r="F499" s="105"/>
    </row>
    <row r="500" spans="1:6">
      <c r="A500"/>
      <c r="B500" s="223"/>
      <c r="D500" s="105"/>
      <c r="E500" s="105"/>
      <c r="F500" s="105"/>
    </row>
    <row r="501" spans="1:6">
      <c r="A501"/>
      <c r="B501" s="223"/>
      <c r="D501" s="105"/>
      <c r="E501" s="105"/>
      <c r="F501" s="105"/>
    </row>
    <row r="502" spans="1:6">
      <c r="A502"/>
      <c r="B502" s="223"/>
      <c r="D502" s="105"/>
      <c r="E502" s="105"/>
      <c r="F502" s="105"/>
    </row>
    <row r="503" spans="1:6">
      <c r="A503"/>
      <c r="B503" s="223"/>
      <c r="D503" s="105"/>
      <c r="E503" s="105"/>
      <c r="F503" s="105"/>
    </row>
    <row r="504" spans="1:6">
      <c r="A504"/>
      <c r="B504" s="223"/>
      <c r="D504" s="105"/>
      <c r="E504" s="105"/>
      <c r="F504" s="105"/>
    </row>
    <row r="505" spans="1:6">
      <c r="A505"/>
      <c r="B505" s="223"/>
      <c r="D505" s="105"/>
      <c r="E505" s="105"/>
      <c r="F505" s="105"/>
    </row>
    <row r="506" spans="1:6">
      <c r="A506"/>
      <c r="B506" s="223"/>
      <c r="D506" s="105"/>
      <c r="E506" s="105"/>
      <c r="F506" s="105"/>
    </row>
    <row r="507" spans="1:6">
      <c r="A507"/>
      <c r="B507" s="223"/>
      <c r="D507" s="105"/>
      <c r="E507" s="105"/>
      <c r="F507" s="105"/>
    </row>
    <row r="508" spans="1:6">
      <c r="A508"/>
      <c r="B508" s="223"/>
      <c r="D508" s="105"/>
      <c r="E508" s="105"/>
      <c r="F508" s="105"/>
    </row>
    <row r="509" spans="1:6">
      <c r="A509"/>
      <c r="B509" s="223"/>
      <c r="D509" s="105"/>
      <c r="E509" s="105"/>
      <c r="F509" s="105"/>
    </row>
    <row r="510" spans="1:6">
      <c r="A510"/>
      <c r="B510" s="223"/>
      <c r="D510" s="105"/>
      <c r="E510" s="105"/>
      <c r="F510" s="105"/>
    </row>
    <row r="511" spans="1:6">
      <c r="A511"/>
      <c r="B511" s="223"/>
      <c r="D511" s="105"/>
      <c r="E511" s="105"/>
      <c r="F511" s="105"/>
    </row>
    <row r="512" spans="1:6">
      <c r="A512"/>
      <c r="B512" s="223"/>
      <c r="D512" s="105"/>
      <c r="E512" s="105"/>
      <c r="F512" s="105"/>
    </row>
    <row r="513" spans="1:6">
      <c r="A513"/>
      <c r="B513" s="223"/>
      <c r="D513" s="105"/>
      <c r="E513" s="105"/>
      <c r="F513" s="105"/>
    </row>
    <row r="514" spans="1:6">
      <c r="A514"/>
      <c r="B514" s="223"/>
      <c r="D514" s="105"/>
      <c r="E514" s="105"/>
      <c r="F514" s="105"/>
    </row>
    <row r="515" spans="1:6">
      <c r="A515"/>
      <c r="B515" s="223"/>
      <c r="D515" s="105"/>
      <c r="E515" s="105"/>
      <c r="F515" s="105"/>
    </row>
    <row r="516" spans="1:6">
      <c r="A516"/>
      <c r="B516" s="223"/>
      <c r="D516" s="105"/>
      <c r="E516" s="105"/>
      <c r="F516" s="105"/>
    </row>
    <row r="517" spans="1:6">
      <c r="A517"/>
      <c r="B517" s="223"/>
      <c r="D517" s="105"/>
      <c r="E517" s="105"/>
      <c r="F517" s="105"/>
    </row>
    <row r="518" spans="1:6">
      <c r="A518"/>
      <c r="B518" s="223"/>
      <c r="D518" s="105"/>
      <c r="E518" s="105"/>
      <c r="F518" s="105"/>
    </row>
    <row r="519" spans="1:6">
      <c r="A519"/>
      <c r="B519" s="223"/>
      <c r="D519" s="105"/>
      <c r="E519" s="105"/>
      <c r="F519" s="105"/>
    </row>
    <row r="520" spans="1:6">
      <c r="A520"/>
      <c r="B520" s="223"/>
      <c r="D520" s="105"/>
      <c r="E520" s="105"/>
      <c r="F520" s="105"/>
    </row>
    <row r="521" spans="1:6">
      <c r="A521"/>
      <c r="B521" s="223"/>
      <c r="D521" s="105"/>
      <c r="E521" s="105"/>
      <c r="F521" s="105"/>
    </row>
    <row r="522" spans="1:6">
      <c r="A522"/>
      <c r="B522" s="223"/>
      <c r="D522" s="105"/>
      <c r="E522" s="105"/>
      <c r="F522" s="105"/>
    </row>
    <row r="523" spans="1:6">
      <c r="A523"/>
      <c r="B523" s="223"/>
      <c r="D523" s="105"/>
      <c r="E523" s="105"/>
      <c r="F523" s="105"/>
    </row>
    <row r="524" spans="1:6">
      <c r="A524"/>
      <c r="B524" s="223"/>
      <c r="D524" s="105"/>
      <c r="E524" s="105"/>
      <c r="F524" s="105"/>
    </row>
    <row r="525" spans="1:6">
      <c r="A525"/>
      <c r="B525" s="223"/>
      <c r="D525" s="105"/>
      <c r="E525" s="105"/>
      <c r="F525" s="105"/>
    </row>
    <row r="526" spans="1:6">
      <c r="A526"/>
      <c r="B526" s="223"/>
      <c r="D526" s="105"/>
      <c r="E526" s="105"/>
      <c r="F526" s="105"/>
    </row>
    <row r="527" spans="1:6">
      <c r="A527"/>
      <c r="B527" s="223"/>
      <c r="D527" s="105"/>
      <c r="E527" s="105"/>
      <c r="F527" s="105"/>
    </row>
    <row r="528" spans="1:6">
      <c r="A528"/>
      <c r="B528" s="223"/>
      <c r="D528" s="105"/>
      <c r="E528" s="105"/>
      <c r="F528" s="105"/>
    </row>
    <row r="529" spans="1:6">
      <c r="A529"/>
      <c r="B529" s="223"/>
      <c r="D529" s="105"/>
      <c r="E529" s="105"/>
      <c r="F529" s="105"/>
    </row>
    <row r="530" spans="1:6">
      <c r="A530"/>
      <c r="B530" s="223"/>
      <c r="D530" s="105"/>
      <c r="E530" s="105"/>
      <c r="F530" s="105"/>
    </row>
    <row r="531" spans="1:6">
      <c r="A531"/>
      <c r="B531" s="223"/>
      <c r="D531" s="105"/>
      <c r="E531" s="105"/>
      <c r="F531" s="105"/>
    </row>
    <row r="532" spans="1:6">
      <c r="A532"/>
      <c r="B532" s="223"/>
      <c r="D532" s="105"/>
      <c r="E532" s="105"/>
      <c r="F532" s="105"/>
    </row>
    <row r="533" spans="1:6">
      <c r="A533"/>
      <c r="B533" s="223"/>
      <c r="D533" s="105"/>
      <c r="E533" s="105"/>
      <c r="F533" s="105"/>
    </row>
    <row r="534" spans="1:6">
      <c r="A534"/>
      <c r="B534" s="223"/>
      <c r="D534" s="105"/>
      <c r="E534" s="105"/>
      <c r="F534" s="105"/>
    </row>
    <row r="535" spans="1:6">
      <c r="A535"/>
      <c r="B535" s="223"/>
      <c r="D535" s="105"/>
      <c r="E535" s="105"/>
      <c r="F535" s="105"/>
    </row>
    <row r="536" spans="1:6">
      <c r="A536"/>
      <c r="B536" s="223"/>
      <c r="D536" s="105"/>
      <c r="E536" s="105"/>
      <c r="F536" s="105"/>
    </row>
    <row r="537" spans="1:6">
      <c r="A537"/>
      <c r="B537" s="223"/>
      <c r="D537" s="105"/>
      <c r="E537" s="105"/>
      <c r="F537" s="105"/>
    </row>
    <row r="538" spans="1:6">
      <c r="A538"/>
      <c r="B538" s="223"/>
      <c r="D538" s="105"/>
      <c r="E538" s="105"/>
      <c r="F538" s="105"/>
    </row>
    <row r="539" spans="1:6">
      <c r="A539"/>
      <c r="B539" s="223"/>
      <c r="D539" s="105"/>
      <c r="E539" s="105"/>
      <c r="F539" s="105"/>
    </row>
    <row r="540" spans="1:6">
      <c r="A540"/>
      <c r="B540" s="223"/>
      <c r="D540" s="105"/>
      <c r="E540" s="105"/>
      <c r="F540" s="105"/>
    </row>
    <row r="541" spans="1:6">
      <c r="A541"/>
      <c r="B541" s="223"/>
      <c r="D541" s="105"/>
      <c r="E541" s="105"/>
      <c r="F541" s="105"/>
    </row>
    <row r="542" spans="1:6">
      <c r="A542"/>
      <c r="B542" s="223"/>
      <c r="D542" s="105"/>
      <c r="E542" s="105"/>
      <c r="F542" s="105"/>
    </row>
    <row r="543" spans="1:6">
      <c r="A543"/>
      <c r="B543" s="223"/>
      <c r="D543" s="105"/>
      <c r="E543" s="105"/>
      <c r="F543" s="105"/>
    </row>
    <row r="544" spans="1:6">
      <c r="A544"/>
      <c r="B544" s="223"/>
      <c r="D544" s="105"/>
      <c r="E544" s="105"/>
      <c r="F544" s="105"/>
    </row>
    <row r="545" spans="1:6">
      <c r="A545"/>
      <c r="B545" s="223"/>
      <c r="D545" s="105"/>
      <c r="E545" s="105"/>
      <c r="F545" s="105"/>
    </row>
    <row r="546" spans="1:6">
      <c r="A546"/>
      <c r="B546" s="223"/>
      <c r="D546" s="105"/>
      <c r="E546" s="105"/>
      <c r="F546" s="105"/>
    </row>
    <row r="547" spans="1:6">
      <c r="A547"/>
      <c r="B547" s="223"/>
      <c r="D547" s="105"/>
      <c r="E547" s="105"/>
      <c r="F547" s="105"/>
    </row>
    <row r="548" spans="1:6">
      <c r="A548"/>
      <c r="B548" s="223"/>
      <c r="D548" s="105"/>
      <c r="E548" s="105"/>
      <c r="F548" s="105"/>
    </row>
    <row r="549" spans="1:6">
      <c r="A549"/>
      <c r="B549" s="223"/>
      <c r="D549" s="105"/>
      <c r="E549" s="105"/>
      <c r="F549" s="105"/>
    </row>
    <row r="550" spans="1:6">
      <c r="A550"/>
      <c r="B550" s="223"/>
      <c r="D550" s="105"/>
      <c r="E550" s="105"/>
      <c r="F550" s="105"/>
    </row>
    <row r="551" spans="1:6">
      <c r="A551"/>
      <c r="B551" s="223"/>
      <c r="D551" s="105"/>
      <c r="E551" s="105"/>
      <c r="F551" s="105"/>
    </row>
    <row r="552" spans="1:6">
      <c r="A552"/>
      <c r="B552" s="223"/>
      <c r="D552" s="105"/>
      <c r="E552" s="105"/>
      <c r="F552" s="105"/>
    </row>
    <row r="553" spans="1:6">
      <c r="A553"/>
      <c r="B553" s="223"/>
      <c r="D553" s="105"/>
      <c r="E553" s="105"/>
      <c r="F553" s="105"/>
    </row>
    <row r="554" spans="1:6">
      <c r="A554"/>
      <c r="B554" s="223"/>
      <c r="D554" s="105"/>
      <c r="E554" s="105"/>
      <c r="F554" s="105"/>
    </row>
    <row r="555" spans="1:6">
      <c r="A555"/>
      <c r="B555" s="223"/>
      <c r="D555" s="105"/>
      <c r="E555" s="105"/>
      <c r="F555" s="105"/>
    </row>
    <row r="556" spans="1:6">
      <c r="A556"/>
      <c r="B556" s="223"/>
      <c r="D556" s="105"/>
      <c r="E556" s="105"/>
      <c r="F556" s="105"/>
    </row>
    <row r="557" spans="1:6">
      <c r="A557"/>
      <c r="B557" s="223"/>
      <c r="D557" s="105"/>
      <c r="E557" s="105"/>
      <c r="F557" s="105"/>
    </row>
    <row r="558" spans="1:6">
      <c r="A558"/>
      <c r="B558" s="223"/>
      <c r="D558" s="105"/>
      <c r="E558" s="105"/>
      <c r="F558" s="105"/>
    </row>
    <row r="559" spans="1:6">
      <c r="A559"/>
      <c r="B559" s="223"/>
      <c r="D559" s="105"/>
      <c r="E559" s="105"/>
      <c r="F559" s="105"/>
    </row>
    <row r="560" spans="1:6">
      <c r="A560"/>
      <c r="B560" s="223"/>
      <c r="D560" s="105"/>
      <c r="E560" s="105"/>
      <c r="F560" s="105"/>
    </row>
    <row r="561" spans="1:6">
      <c r="A561"/>
      <c r="B561" s="223"/>
      <c r="D561" s="105"/>
      <c r="E561" s="105"/>
      <c r="F561" s="105"/>
    </row>
    <row r="562" spans="1:6">
      <c r="A562"/>
      <c r="B562" s="223"/>
      <c r="D562" s="105"/>
      <c r="E562" s="105"/>
      <c r="F562" s="105"/>
    </row>
    <row r="563" spans="1:6">
      <c r="A563"/>
      <c r="B563" s="223"/>
      <c r="D563" s="105"/>
      <c r="E563" s="105"/>
      <c r="F563" s="105"/>
    </row>
    <row r="564" spans="1:6">
      <c r="A564"/>
      <c r="B564" s="223"/>
      <c r="D564" s="105"/>
      <c r="E564" s="105"/>
      <c r="F564" s="105"/>
    </row>
    <row r="565" spans="1:6">
      <c r="A565"/>
      <c r="B565" s="223"/>
      <c r="D565" s="105"/>
      <c r="E565" s="105"/>
      <c r="F565" s="105"/>
    </row>
    <row r="566" spans="1:6">
      <c r="A566"/>
      <c r="B566" s="223"/>
      <c r="D566" s="105"/>
      <c r="E566" s="105"/>
      <c r="F566" s="105"/>
    </row>
    <row r="567" spans="1:6">
      <c r="A567"/>
      <c r="B567" s="223"/>
      <c r="D567" s="105"/>
      <c r="E567" s="105"/>
      <c r="F567" s="105"/>
    </row>
    <row r="568" spans="1:6">
      <c r="A568"/>
      <c r="B568" s="223"/>
      <c r="D568" s="105"/>
      <c r="E568" s="105"/>
      <c r="F568" s="105"/>
    </row>
    <row r="569" spans="1:6">
      <c r="A569"/>
      <c r="B569" s="223"/>
      <c r="D569" s="105"/>
      <c r="E569" s="105"/>
      <c r="F569" s="105"/>
    </row>
    <row r="570" spans="1:6">
      <c r="A570"/>
      <c r="B570" s="223"/>
      <c r="D570" s="105"/>
      <c r="E570" s="105"/>
      <c r="F570" s="105"/>
    </row>
    <row r="571" spans="1:6">
      <c r="A571"/>
      <c r="B571" s="223"/>
      <c r="D571" s="105"/>
      <c r="E571" s="105"/>
      <c r="F571" s="105"/>
    </row>
    <row r="572" spans="1:6">
      <c r="A572"/>
      <c r="B572" s="223"/>
      <c r="D572" s="105"/>
      <c r="E572" s="105"/>
      <c r="F572" s="105"/>
    </row>
    <row r="573" spans="1:6">
      <c r="A573"/>
      <c r="B573" s="223"/>
      <c r="D573" s="105"/>
      <c r="E573" s="105"/>
      <c r="F573" s="105"/>
    </row>
    <row r="574" spans="1:6">
      <c r="A574"/>
      <c r="B574" s="223"/>
      <c r="D574" s="105"/>
      <c r="E574" s="105"/>
      <c r="F574" s="105"/>
    </row>
    <row r="575" spans="1:6">
      <c r="A575"/>
      <c r="B575" s="223"/>
      <c r="D575" s="105"/>
      <c r="E575" s="105"/>
      <c r="F575" s="105"/>
    </row>
    <row r="576" spans="1:6">
      <c r="A576"/>
      <c r="B576" s="223"/>
      <c r="D576" s="105"/>
      <c r="E576" s="105"/>
      <c r="F576" s="105"/>
    </row>
    <row r="577" spans="1:6">
      <c r="A577"/>
      <c r="B577" s="223"/>
      <c r="D577" s="105"/>
      <c r="E577" s="105"/>
      <c r="F577" s="105"/>
    </row>
    <row r="578" spans="1:6">
      <c r="A578"/>
      <c r="B578" s="223"/>
      <c r="D578" s="105"/>
      <c r="E578" s="105"/>
      <c r="F578" s="105"/>
    </row>
    <row r="579" spans="1:6">
      <c r="A579"/>
      <c r="B579" s="223"/>
      <c r="D579" s="105"/>
      <c r="E579" s="105"/>
      <c r="F579" s="105"/>
    </row>
    <row r="580" spans="1:6">
      <c r="A580"/>
      <c r="B580" s="223"/>
      <c r="D580" s="105"/>
      <c r="E580" s="105"/>
      <c r="F580" s="105"/>
    </row>
    <row r="581" spans="1:6">
      <c r="A581"/>
      <c r="B581" s="223"/>
      <c r="D581" s="105"/>
      <c r="E581" s="105"/>
      <c r="F581" s="105"/>
    </row>
    <row r="582" spans="1:6">
      <c r="A582"/>
      <c r="B582" s="223"/>
      <c r="D582" s="105"/>
      <c r="E582" s="105"/>
      <c r="F582" s="105"/>
    </row>
    <row r="583" spans="1:6">
      <c r="A583"/>
      <c r="B583" s="223"/>
      <c r="D583" s="105"/>
      <c r="E583" s="105"/>
      <c r="F583" s="105"/>
    </row>
    <row r="584" spans="1:6">
      <c r="A584"/>
      <c r="B584" s="223"/>
      <c r="D584" s="105"/>
      <c r="E584" s="105"/>
      <c r="F584" s="105"/>
    </row>
    <row r="585" spans="1:6">
      <c r="A585"/>
      <c r="B585" s="223"/>
      <c r="D585" s="105"/>
      <c r="E585" s="105"/>
      <c r="F585" s="105"/>
    </row>
    <row r="586" spans="1:6">
      <c r="A586"/>
      <c r="B586" s="223"/>
      <c r="D586" s="105"/>
      <c r="E586" s="105"/>
      <c r="F586" s="105"/>
    </row>
    <row r="587" spans="1:6">
      <c r="A587"/>
      <c r="B587" s="223"/>
      <c r="D587" s="105"/>
      <c r="E587" s="105"/>
      <c r="F587" s="105"/>
    </row>
    <row r="588" spans="1:6">
      <c r="A588"/>
      <c r="B588" s="223"/>
      <c r="D588" s="105"/>
      <c r="E588" s="105"/>
      <c r="F588" s="105"/>
    </row>
    <row r="589" spans="1:6">
      <c r="A589"/>
      <c r="B589" s="223"/>
      <c r="D589" s="105"/>
      <c r="E589" s="105"/>
      <c r="F589" s="105"/>
    </row>
    <row r="590" spans="1:6">
      <c r="A590"/>
      <c r="B590" s="223"/>
      <c r="D590" s="105"/>
      <c r="E590" s="105"/>
      <c r="F590" s="105"/>
    </row>
    <row r="591" spans="1:6">
      <c r="A591"/>
      <c r="B591" s="223"/>
      <c r="D591" s="105"/>
      <c r="E591" s="105"/>
      <c r="F591" s="105"/>
    </row>
    <row r="592" spans="1:6">
      <c r="A592"/>
      <c r="B592" s="223"/>
      <c r="D592" s="105"/>
      <c r="E592" s="105"/>
      <c r="F592" s="105"/>
    </row>
    <row r="593" spans="1:6">
      <c r="A593"/>
      <c r="B593" s="223"/>
      <c r="D593" s="105"/>
      <c r="E593" s="105"/>
      <c r="F593" s="105"/>
    </row>
    <row r="594" spans="1:6">
      <c r="A594"/>
      <c r="B594" s="223"/>
      <c r="D594" s="105"/>
      <c r="E594" s="105"/>
      <c r="F594" s="105"/>
    </row>
    <row r="595" spans="1:6">
      <c r="A595"/>
      <c r="B595" s="223"/>
      <c r="D595" s="105"/>
      <c r="E595" s="105"/>
      <c r="F595" s="105"/>
    </row>
    <row r="596" spans="1:6">
      <c r="A596"/>
      <c r="B596" s="223"/>
      <c r="D596" s="105"/>
      <c r="E596" s="105"/>
      <c r="F596" s="105"/>
    </row>
    <row r="597" spans="1:6">
      <c r="A597"/>
      <c r="B597" s="223"/>
      <c r="D597" s="105"/>
      <c r="E597" s="105"/>
      <c r="F597" s="105"/>
    </row>
    <row r="598" spans="1:6">
      <c r="A598"/>
      <c r="B598" s="223"/>
      <c r="D598" s="105"/>
      <c r="E598" s="105"/>
      <c r="F598" s="105"/>
    </row>
    <row r="599" spans="1:6">
      <c r="A599"/>
      <c r="B599" s="223"/>
      <c r="D599" s="105"/>
      <c r="E599" s="105"/>
      <c r="F599" s="105"/>
    </row>
    <row r="600" spans="1:6">
      <c r="A600"/>
      <c r="B600" s="223"/>
      <c r="D600" s="105"/>
      <c r="E600" s="105"/>
      <c r="F600" s="105"/>
    </row>
    <row r="601" spans="1:6">
      <c r="A601"/>
      <c r="B601" s="223"/>
      <c r="D601" s="105"/>
      <c r="E601" s="105"/>
      <c r="F601" s="105"/>
    </row>
    <row r="602" spans="1:6">
      <c r="A602"/>
      <c r="B602" s="223"/>
      <c r="D602" s="105"/>
      <c r="E602" s="105"/>
      <c r="F602" s="105"/>
    </row>
    <row r="603" spans="1:6">
      <c r="A603"/>
      <c r="B603" s="223"/>
      <c r="D603" s="105"/>
      <c r="E603" s="105"/>
      <c r="F603" s="105"/>
    </row>
    <row r="604" spans="1:6">
      <c r="A604"/>
      <c r="B604" s="223"/>
      <c r="D604" s="105"/>
      <c r="E604" s="105"/>
      <c r="F604" s="105"/>
    </row>
    <row r="605" spans="1:6">
      <c r="A605"/>
      <c r="B605" s="223"/>
      <c r="D605" s="105"/>
      <c r="E605" s="105"/>
      <c r="F605" s="105"/>
    </row>
    <row r="606" spans="1:6">
      <c r="A606"/>
      <c r="B606" s="223"/>
      <c r="D606" s="105"/>
      <c r="E606" s="105"/>
      <c r="F606" s="105"/>
    </row>
    <row r="607" spans="1:6">
      <c r="A607"/>
      <c r="B607" s="223"/>
      <c r="D607" s="105"/>
      <c r="E607" s="105"/>
      <c r="F607" s="105"/>
    </row>
    <row r="608" spans="1:6">
      <c r="A608"/>
      <c r="B608" s="223"/>
      <c r="D608" s="105"/>
      <c r="E608" s="105"/>
      <c r="F608" s="105"/>
    </row>
    <row r="609" spans="1:6">
      <c r="A609"/>
      <c r="B609" s="223"/>
      <c r="D609" s="105"/>
      <c r="E609" s="105"/>
      <c r="F609" s="105"/>
    </row>
    <row r="610" spans="1:6">
      <c r="A610"/>
      <c r="B610" s="223"/>
      <c r="D610" s="105"/>
      <c r="E610" s="105"/>
      <c r="F610" s="105"/>
    </row>
    <row r="611" spans="1:6">
      <c r="A611"/>
      <c r="B611" s="223"/>
      <c r="D611" s="105"/>
      <c r="E611" s="105"/>
      <c r="F611" s="105"/>
    </row>
    <row r="612" spans="1:6">
      <c r="A612"/>
      <c r="B612" s="223"/>
      <c r="D612" s="105"/>
      <c r="E612" s="105"/>
      <c r="F612" s="105"/>
    </row>
    <row r="613" spans="1:6">
      <c r="A613"/>
      <c r="B613" s="223"/>
      <c r="D613" s="105"/>
      <c r="E613" s="105"/>
      <c r="F613" s="105"/>
    </row>
    <row r="614" spans="1:6">
      <c r="A614"/>
      <c r="B614" s="223"/>
      <c r="D614" s="105"/>
      <c r="E614" s="105"/>
      <c r="F614" s="105"/>
    </row>
    <row r="615" spans="1:6">
      <c r="A615"/>
      <c r="B615" s="223"/>
      <c r="D615" s="105"/>
      <c r="E615" s="105"/>
      <c r="F615" s="105"/>
    </row>
    <row r="616" spans="1:6">
      <c r="A616"/>
      <c r="B616" s="223"/>
      <c r="D616" s="105"/>
      <c r="E616" s="105"/>
      <c r="F616" s="105"/>
    </row>
    <row r="617" spans="1:6">
      <c r="A617"/>
      <c r="B617" s="223"/>
      <c r="D617" s="105"/>
      <c r="E617" s="105"/>
      <c r="F617" s="105"/>
    </row>
    <row r="618" spans="1:6">
      <c r="A618"/>
      <c r="B618" s="223"/>
      <c r="D618" s="105"/>
      <c r="E618" s="105"/>
      <c r="F618" s="105"/>
    </row>
    <row r="619" spans="1:6">
      <c r="A619"/>
      <c r="B619" s="223"/>
      <c r="D619" s="105"/>
      <c r="E619" s="105"/>
      <c r="F619" s="105"/>
    </row>
    <row r="620" spans="1:6">
      <c r="A620"/>
      <c r="B620" s="223"/>
      <c r="D620" s="105"/>
      <c r="E620" s="105"/>
      <c r="F620" s="105"/>
    </row>
    <row r="621" spans="1:6">
      <c r="A621"/>
      <c r="B621" s="223"/>
      <c r="D621" s="105"/>
      <c r="E621" s="105"/>
      <c r="F621" s="105"/>
    </row>
    <row r="622" spans="1:6">
      <c r="A622"/>
      <c r="B622" s="223"/>
      <c r="D622" s="105"/>
      <c r="E622" s="105"/>
      <c r="F622" s="105"/>
    </row>
    <row r="623" spans="1:6">
      <c r="A623"/>
      <c r="B623" s="223"/>
      <c r="D623" s="105"/>
      <c r="E623" s="105"/>
      <c r="F623" s="105"/>
    </row>
    <row r="624" spans="1:6">
      <c r="A624"/>
      <c r="B624" s="223"/>
      <c r="D624" s="105"/>
      <c r="E624" s="105"/>
      <c r="F624" s="105"/>
    </row>
    <row r="625" spans="1:6">
      <c r="A625"/>
      <c r="B625" s="223"/>
      <c r="D625" s="105"/>
      <c r="E625" s="105"/>
      <c r="F625" s="105"/>
    </row>
    <row r="626" spans="1:6">
      <c r="A626"/>
      <c r="B626" s="223"/>
      <c r="D626" s="105"/>
      <c r="E626" s="105"/>
      <c r="F626" s="105"/>
    </row>
    <row r="627" spans="1:6">
      <c r="A627"/>
      <c r="B627" s="223"/>
      <c r="D627" s="105"/>
      <c r="E627" s="105"/>
      <c r="F627" s="105"/>
    </row>
    <row r="628" spans="1:6">
      <c r="A628"/>
      <c r="B628" s="223"/>
      <c r="D628" s="105"/>
      <c r="E628" s="105"/>
      <c r="F628" s="105"/>
    </row>
    <row r="629" spans="1:6">
      <c r="A629"/>
      <c r="B629" s="223"/>
      <c r="D629" s="105"/>
      <c r="E629" s="105"/>
      <c r="F629" s="105"/>
    </row>
    <row r="630" spans="1:6">
      <c r="A630"/>
      <c r="B630" s="223"/>
      <c r="D630" s="105"/>
      <c r="E630" s="105"/>
      <c r="F630" s="105"/>
    </row>
    <row r="631" spans="1:6">
      <c r="A631"/>
      <c r="B631" s="223"/>
      <c r="D631" s="105"/>
      <c r="E631" s="105"/>
      <c r="F631" s="105"/>
    </row>
    <row r="632" spans="1:6">
      <c r="A632"/>
      <c r="B632" s="223"/>
      <c r="D632" s="105"/>
      <c r="E632" s="105"/>
      <c r="F632" s="105"/>
    </row>
    <row r="633" spans="1:6">
      <c r="A633"/>
      <c r="B633" s="223"/>
      <c r="D633" s="105"/>
      <c r="E633" s="105"/>
      <c r="F633" s="105"/>
    </row>
    <row r="634" spans="1:6">
      <c r="A634"/>
      <c r="B634" s="223"/>
      <c r="D634" s="105"/>
      <c r="E634" s="105"/>
      <c r="F634" s="105"/>
    </row>
    <row r="635" spans="1:6">
      <c r="A635"/>
      <c r="B635" s="223"/>
      <c r="D635" s="105"/>
      <c r="E635" s="105"/>
      <c r="F635" s="105"/>
    </row>
    <row r="636" spans="1:6">
      <c r="A636"/>
      <c r="B636" s="223"/>
      <c r="D636" s="105"/>
      <c r="E636" s="105"/>
      <c r="F636" s="105"/>
    </row>
    <row r="637" spans="1:6">
      <c r="A637"/>
      <c r="B637" s="223"/>
      <c r="D637" s="105"/>
      <c r="E637" s="105"/>
      <c r="F637" s="105"/>
    </row>
    <row r="638" spans="1:6">
      <c r="A638"/>
      <c r="B638" s="223"/>
      <c r="D638" s="105"/>
      <c r="E638" s="105"/>
      <c r="F638" s="105"/>
    </row>
    <row r="639" spans="1:6">
      <c r="A639"/>
      <c r="B639" s="223"/>
      <c r="D639" s="105"/>
      <c r="E639" s="105"/>
      <c r="F639" s="105"/>
    </row>
    <row r="640" spans="1:6">
      <c r="A640"/>
      <c r="B640" s="223"/>
      <c r="D640" s="105"/>
      <c r="E640" s="105"/>
      <c r="F640" s="105"/>
    </row>
    <row r="641" spans="1:6">
      <c r="A641"/>
      <c r="B641" s="223"/>
      <c r="D641" s="105"/>
      <c r="E641" s="105"/>
      <c r="F641" s="105"/>
    </row>
    <row r="642" spans="1:6">
      <c r="A642"/>
      <c r="B642" s="223"/>
      <c r="D642" s="105"/>
      <c r="E642" s="105"/>
      <c r="F642" s="105"/>
    </row>
    <row r="643" spans="1:6">
      <c r="A643"/>
      <c r="B643" s="223"/>
      <c r="D643" s="105"/>
      <c r="E643" s="105"/>
      <c r="F643" s="105"/>
    </row>
    <row r="644" spans="1:6">
      <c r="A644"/>
      <c r="B644" s="223"/>
      <c r="D644" s="105"/>
      <c r="E644" s="105"/>
      <c r="F644" s="105"/>
    </row>
    <row r="645" spans="1:6">
      <c r="A645"/>
      <c r="B645" s="223"/>
      <c r="D645" s="105"/>
      <c r="E645" s="105"/>
      <c r="F645" s="105"/>
    </row>
    <row r="646" spans="1:6">
      <c r="A646"/>
      <c r="B646" s="223"/>
      <c r="D646" s="105"/>
      <c r="E646" s="105"/>
      <c r="F646" s="105"/>
    </row>
    <row r="647" spans="1:6">
      <c r="A647"/>
      <c r="B647" s="223"/>
      <c r="D647" s="105"/>
      <c r="E647" s="105"/>
      <c r="F647" s="105"/>
    </row>
    <row r="648" spans="1:6">
      <c r="A648"/>
      <c r="B648" s="223"/>
      <c r="D648" s="105"/>
      <c r="E648" s="105"/>
      <c r="F648" s="105"/>
    </row>
    <row r="649" spans="1:6">
      <c r="A649"/>
      <c r="B649" s="223"/>
      <c r="D649" s="105"/>
      <c r="E649" s="105"/>
      <c r="F649" s="105"/>
    </row>
    <row r="650" spans="1:6">
      <c r="A650"/>
      <c r="B650" s="223"/>
      <c r="D650" s="105"/>
      <c r="E650" s="105"/>
      <c r="F650" s="105"/>
    </row>
    <row r="651" spans="1:6">
      <c r="A651"/>
      <c r="B651" s="223"/>
      <c r="D651" s="105"/>
      <c r="E651" s="105"/>
      <c r="F651" s="105"/>
    </row>
    <row r="652" spans="1:6">
      <c r="A652"/>
      <c r="B652" s="223"/>
      <c r="D652" s="105"/>
      <c r="E652" s="105"/>
      <c r="F652" s="105"/>
    </row>
    <row r="653" spans="1:6">
      <c r="A653"/>
      <c r="B653" s="223"/>
      <c r="D653" s="105"/>
      <c r="E653" s="105"/>
      <c r="F653" s="105"/>
    </row>
    <row r="654" spans="1:6">
      <c r="A654"/>
      <c r="B654" s="223"/>
      <c r="D654" s="105"/>
      <c r="E654" s="105"/>
      <c r="F654" s="105"/>
    </row>
    <row r="655" spans="1:6">
      <c r="A655"/>
      <c r="B655" s="223"/>
      <c r="D655" s="105"/>
      <c r="E655" s="105"/>
      <c r="F655" s="105"/>
    </row>
    <row r="656" spans="1:6">
      <c r="A656"/>
      <c r="B656" s="223"/>
      <c r="D656" s="105"/>
      <c r="E656" s="105"/>
      <c r="F656" s="105"/>
    </row>
    <row r="657" spans="1:6">
      <c r="A657"/>
      <c r="B657" s="223"/>
      <c r="D657" s="105"/>
      <c r="E657" s="105"/>
      <c r="F657" s="105"/>
    </row>
    <row r="658" spans="1:6">
      <c r="A658"/>
      <c r="B658" s="223"/>
      <c r="D658" s="105"/>
      <c r="E658" s="105"/>
      <c r="F658" s="105"/>
    </row>
    <row r="659" spans="1:6">
      <c r="A659"/>
      <c r="B659" s="223"/>
      <c r="D659" s="105"/>
      <c r="E659" s="105"/>
      <c r="F659" s="105"/>
    </row>
    <row r="660" spans="1:6">
      <c r="A660"/>
      <c r="B660" s="223"/>
      <c r="D660" s="105"/>
      <c r="E660" s="105"/>
      <c r="F660" s="105"/>
    </row>
    <row r="661" spans="1:6">
      <c r="A661"/>
      <c r="B661" s="223"/>
      <c r="D661" s="105"/>
      <c r="E661" s="105"/>
      <c r="F661" s="105"/>
    </row>
    <row r="662" spans="1:6">
      <c r="A662"/>
      <c r="B662" s="223"/>
      <c r="D662" s="105"/>
      <c r="E662" s="105"/>
      <c r="F662" s="105"/>
    </row>
    <row r="663" spans="1:6">
      <c r="A663"/>
      <c r="B663" s="223"/>
      <c r="D663" s="105"/>
      <c r="E663" s="105"/>
      <c r="F663" s="105"/>
    </row>
    <row r="664" spans="1:6">
      <c r="A664"/>
      <c r="B664" s="223"/>
      <c r="D664" s="105"/>
      <c r="E664" s="105"/>
      <c r="F664" s="105"/>
    </row>
    <row r="665" spans="1:6">
      <c r="A665"/>
      <c r="B665" s="223"/>
      <c r="D665" s="105"/>
      <c r="E665" s="105"/>
      <c r="F665" s="105"/>
    </row>
    <row r="666" spans="1:6">
      <c r="A666"/>
      <c r="B666" s="223"/>
      <c r="D666" s="105"/>
      <c r="E666" s="105"/>
      <c r="F666" s="105"/>
    </row>
    <row r="667" spans="1:6">
      <c r="A667"/>
      <c r="B667" s="223"/>
      <c r="D667" s="105"/>
      <c r="E667" s="105"/>
      <c r="F667" s="105"/>
    </row>
    <row r="668" spans="1:6">
      <c r="A668"/>
      <c r="B668" s="223"/>
      <c r="D668" s="105"/>
      <c r="E668" s="105"/>
      <c r="F668" s="105"/>
    </row>
    <row r="669" spans="1:6">
      <c r="A669"/>
      <c r="B669" s="223"/>
      <c r="D669" s="105"/>
      <c r="E669" s="105"/>
      <c r="F669" s="105"/>
    </row>
    <row r="670" spans="1:6">
      <c r="A670"/>
      <c r="B670" s="223"/>
      <c r="D670" s="105"/>
      <c r="E670" s="105"/>
      <c r="F670" s="105"/>
    </row>
    <row r="671" spans="1:6">
      <c r="A671"/>
      <c r="B671" s="223"/>
      <c r="D671" s="105"/>
      <c r="E671" s="105"/>
      <c r="F671" s="105"/>
    </row>
    <row r="672" spans="1:6">
      <c r="A672"/>
      <c r="B672" s="223"/>
      <c r="D672" s="105"/>
      <c r="E672" s="105"/>
      <c r="F672" s="105"/>
    </row>
    <row r="673" spans="1:6">
      <c r="A673"/>
      <c r="B673" s="223"/>
      <c r="D673" s="105"/>
      <c r="E673" s="105"/>
      <c r="F673" s="105"/>
    </row>
    <row r="674" spans="1:6">
      <c r="A674"/>
      <c r="B674" s="223"/>
      <c r="D674" s="105"/>
      <c r="E674" s="105"/>
      <c r="F674" s="105"/>
    </row>
    <row r="675" spans="1:6">
      <c r="A675"/>
      <c r="B675" s="223"/>
      <c r="D675" s="105"/>
      <c r="E675" s="105"/>
      <c r="F675" s="105"/>
    </row>
    <row r="676" spans="1:6">
      <c r="A676"/>
      <c r="B676" s="223"/>
      <c r="D676" s="105"/>
      <c r="E676" s="105"/>
      <c r="F676" s="105"/>
    </row>
    <row r="677" spans="1:6">
      <c r="A677"/>
      <c r="B677" s="223"/>
      <c r="D677" s="105"/>
      <c r="E677" s="105"/>
      <c r="F677" s="105"/>
    </row>
    <row r="678" spans="1:6">
      <c r="A678"/>
      <c r="B678" s="223"/>
      <c r="D678" s="105"/>
      <c r="E678" s="105"/>
      <c r="F678" s="105"/>
    </row>
    <row r="679" spans="1:6">
      <c r="A679"/>
      <c r="B679" s="223"/>
      <c r="D679" s="105"/>
      <c r="E679" s="105"/>
      <c r="F679" s="105"/>
    </row>
    <row r="680" spans="1:6">
      <c r="A680"/>
      <c r="B680" s="223"/>
      <c r="D680" s="105"/>
      <c r="E680" s="105"/>
      <c r="F680" s="105"/>
    </row>
    <row r="681" spans="1:6">
      <c r="A681"/>
      <c r="B681" s="223"/>
      <c r="D681" s="105"/>
      <c r="E681" s="105"/>
      <c r="F681" s="105"/>
    </row>
    <row r="682" spans="1:6">
      <c r="A682"/>
      <c r="B682" s="223"/>
      <c r="D682" s="105"/>
      <c r="E682" s="105"/>
      <c r="F682" s="105"/>
    </row>
    <row r="683" spans="1:6">
      <c r="A683"/>
      <c r="B683" s="223"/>
      <c r="D683" s="105"/>
      <c r="E683" s="105"/>
      <c r="F683" s="105"/>
    </row>
    <row r="684" spans="1:6">
      <c r="A684"/>
      <c r="B684" s="223"/>
      <c r="D684" s="105"/>
      <c r="E684" s="105"/>
      <c r="F684" s="105"/>
    </row>
    <row r="685" spans="1:6">
      <c r="A685"/>
      <c r="B685" s="223"/>
      <c r="D685" s="105"/>
      <c r="E685" s="105"/>
      <c r="F685" s="105"/>
    </row>
    <row r="686" spans="1:6">
      <c r="A686"/>
      <c r="B686" s="223"/>
      <c r="D686" s="105"/>
      <c r="E686" s="105"/>
      <c r="F686" s="105"/>
    </row>
    <row r="687" spans="1:6">
      <c r="A687"/>
      <c r="B687" s="223"/>
      <c r="D687" s="105"/>
      <c r="E687" s="105"/>
      <c r="F687" s="105"/>
    </row>
    <row r="688" spans="1:6">
      <c r="A688"/>
      <c r="B688" s="223"/>
      <c r="D688" s="105"/>
      <c r="E688" s="105"/>
      <c r="F688" s="105"/>
    </row>
    <row r="689" spans="1:6">
      <c r="A689"/>
      <c r="B689" s="223"/>
      <c r="D689" s="105"/>
      <c r="E689" s="105"/>
      <c r="F689" s="105"/>
    </row>
    <row r="690" spans="1:6">
      <c r="A690"/>
      <c r="B690" s="223"/>
      <c r="D690" s="105"/>
      <c r="E690" s="105"/>
      <c r="F690" s="105"/>
    </row>
    <row r="691" spans="1:6">
      <c r="A691"/>
      <c r="B691" s="223"/>
      <c r="D691" s="105"/>
      <c r="E691" s="105"/>
      <c r="F691" s="105"/>
    </row>
    <row r="692" spans="1:6">
      <c r="A692"/>
      <c r="B692" s="223"/>
      <c r="D692" s="105"/>
      <c r="E692" s="105"/>
      <c r="F692" s="105"/>
    </row>
    <row r="693" spans="1:6">
      <c r="A693"/>
      <c r="B693" s="223"/>
      <c r="D693" s="105"/>
      <c r="E693" s="105"/>
      <c r="F693" s="105"/>
    </row>
    <row r="694" spans="1:6">
      <c r="A694"/>
      <c r="B694" s="223"/>
      <c r="D694" s="105"/>
      <c r="E694" s="105"/>
      <c r="F694" s="105"/>
    </row>
    <row r="695" spans="1:6">
      <c r="A695"/>
      <c r="B695" s="223"/>
      <c r="D695" s="105"/>
      <c r="E695" s="105"/>
      <c r="F695" s="105"/>
    </row>
    <row r="696" spans="1:6">
      <c r="A696"/>
      <c r="B696" s="223"/>
      <c r="D696" s="105"/>
      <c r="E696" s="105"/>
      <c r="F696" s="105"/>
    </row>
    <row r="697" spans="1:6">
      <c r="A697"/>
      <c r="B697" s="223"/>
      <c r="D697" s="105"/>
      <c r="E697" s="105"/>
      <c r="F697" s="105"/>
    </row>
    <row r="698" spans="1:6">
      <c r="A698"/>
      <c r="B698" s="223"/>
      <c r="D698" s="105"/>
      <c r="E698" s="105"/>
      <c r="F698" s="105"/>
    </row>
    <row r="699" spans="1:6">
      <c r="A699"/>
      <c r="B699" s="223"/>
      <c r="D699" s="105"/>
      <c r="E699" s="105"/>
      <c r="F699" s="105"/>
    </row>
    <row r="700" spans="1:6">
      <c r="A700"/>
      <c r="B700" s="223"/>
      <c r="D700" s="105"/>
      <c r="E700" s="105"/>
      <c r="F700" s="105"/>
    </row>
    <row r="701" spans="1:6">
      <c r="A701"/>
      <c r="B701" s="223"/>
      <c r="D701" s="105"/>
      <c r="E701" s="105"/>
      <c r="F701" s="105"/>
    </row>
    <row r="702" spans="1:6">
      <c r="A702"/>
      <c r="B702" s="223"/>
      <c r="D702" s="105"/>
      <c r="E702" s="105"/>
      <c r="F702" s="105"/>
    </row>
    <row r="703" spans="1:6">
      <c r="A703"/>
      <c r="B703" s="223"/>
      <c r="D703" s="105"/>
      <c r="E703" s="105"/>
      <c r="F703" s="105"/>
    </row>
    <row r="704" spans="1:6">
      <c r="A704"/>
      <c r="B704" s="223"/>
      <c r="D704" s="105"/>
      <c r="E704" s="105"/>
      <c r="F704" s="105"/>
    </row>
    <row r="705" spans="1:6">
      <c r="A705"/>
      <c r="B705" s="223"/>
      <c r="D705" s="105"/>
      <c r="E705" s="105"/>
      <c r="F705" s="105"/>
    </row>
    <row r="706" spans="1:6">
      <c r="A706"/>
      <c r="B706" s="223"/>
      <c r="D706" s="105"/>
      <c r="E706" s="105"/>
      <c r="F706" s="105"/>
    </row>
    <row r="707" spans="1:6">
      <c r="A707"/>
      <c r="B707" s="223"/>
      <c r="D707" s="105"/>
      <c r="E707" s="105"/>
      <c r="F707" s="105"/>
    </row>
    <row r="708" spans="1:6">
      <c r="A708"/>
      <c r="B708" s="223"/>
      <c r="D708" s="105"/>
      <c r="E708" s="105"/>
      <c r="F708" s="105"/>
    </row>
    <row r="709" spans="1:6">
      <c r="A709"/>
      <c r="B709" s="223"/>
      <c r="D709" s="105"/>
      <c r="E709" s="105"/>
      <c r="F709" s="105"/>
    </row>
    <row r="710" spans="1:6">
      <c r="A710"/>
      <c r="B710" s="223"/>
      <c r="D710" s="105"/>
      <c r="E710" s="105"/>
      <c r="F710" s="105"/>
    </row>
    <row r="711" spans="1:6">
      <c r="A711"/>
      <c r="B711" s="223"/>
      <c r="D711" s="105"/>
      <c r="E711" s="105"/>
      <c r="F711" s="105"/>
    </row>
    <row r="712" spans="1:6">
      <c r="A712"/>
      <c r="B712" s="223"/>
      <c r="D712" s="105"/>
      <c r="E712" s="105"/>
      <c r="F712" s="105"/>
    </row>
    <row r="713" spans="1:6">
      <c r="A713"/>
      <c r="B713" s="223"/>
      <c r="D713" s="105"/>
      <c r="E713" s="105"/>
      <c r="F713" s="105"/>
    </row>
    <row r="714" spans="1:6">
      <c r="A714"/>
      <c r="B714" s="223"/>
      <c r="D714" s="105"/>
      <c r="E714" s="105"/>
      <c r="F714" s="105"/>
    </row>
    <row r="715" spans="1:6">
      <c r="A715"/>
      <c r="B715" s="223"/>
      <c r="D715" s="105"/>
      <c r="E715" s="105"/>
      <c r="F715" s="105"/>
    </row>
    <row r="716" spans="1:6">
      <c r="A716"/>
      <c r="B716" s="223"/>
      <c r="D716" s="105"/>
      <c r="E716" s="105"/>
      <c r="F716" s="105"/>
    </row>
    <row r="717" spans="1:6">
      <c r="A717"/>
      <c r="B717" s="223"/>
      <c r="D717" s="105"/>
      <c r="E717" s="105"/>
      <c r="F717" s="105"/>
    </row>
    <row r="718" spans="1:6">
      <c r="A718"/>
      <c r="B718" s="223"/>
      <c r="D718" s="105"/>
      <c r="E718" s="105"/>
      <c r="F718" s="105"/>
    </row>
    <row r="719" spans="1:6">
      <c r="A719"/>
      <c r="B719" s="223"/>
      <c r="D719" s="105"/>
      <c r="E719" s="105"/>
      <c r="F719" s="105"/>
    </row>
    <row r="720" spans="1:6">
      <c r="A720"/>
      <c r="B720" s="223"/>
      <c r="D720" s="105"/>
      <c r="E720" s="105"/>
      <c r="F720" s="105"/>
    </row>
    <row r="721" spans="1:6">
      <c r="A721"/>
      <c r="B721" s="223"/>
      <c r="D721" s="105"/>
      <c r="E721" s="105"/>
      <c r="F721" s="105"/>
    </row>
    <row r="722" spans="1:6">
      <c r="A722"/>
      <c r="B722" s="223"/>
      <c r="D722" s="105"/>
      <c r="E722" s="105"/>
      <c r="F722" s="105"/>
    </row>
    <row r="723" spans="1:6">
      <c r="A723"/>
      <c r="B723" s="223"/>
      <c r="D723" s="105"/>
      <c r="E723" s="105"/>
      <c r="F723" s="105"/>
    </row>
    <row r="724" spans="1:6">
      <c r="A724"/>
      <c r="B724" s="223"/>
      <c r="D724" s="105"/>
      <c r="E724" s="105"/>
      <c r="F724" s="105"/>
    </row>
    <row r="725" spans="1:6">
      <c r="A725"/>
      <c r="B725" s="223"/>
      <c r="D725" s="105"/>
      <c r="E725" s="105"/>
      <c r="F725" s="105"/>
    </row>
    <row r="726" spans="1:6">
      <c r="A726"/>
      <c r="B726" s="223"/>
      <c r="D726" s="105"/>
      <c r="E726" s="105"/>
      <c r="F726" s="105"/>
    </row>
    <row r="727" spans="1:6">
      <c r="A727"/>
      <c r="B727" s="223"/>
      <c r="D727" s="105"/>
      <c r="E727" s="105"/>
      <c r="F727" s="105"/>
    </row>
    <row r="728" spans="1:6">
      <c r="A728"/>
      <c r="B728" s="223"/>
      <c r="D728" s="105"/>
      <c r="E728" s="105"/>
      <c r="F728" s="105"/>
    </row>
    <row r="729" spans="1:6">
      <c r="A729"/>
      <c r="B729" s="223"/>
      <c r="D729" s="105"/>
      <c r="E729" s="105"/>
      <c r="F729" s="105"/>
    </row>
    <row r="730" spans="1:6">
      <c r="A730"/>
      <c r="B730" s="223"/>
      <c r="D730" s="105"/>
      <c r="E730" s="105"/>
      <c r="F730" s="105"/>
    </row>
    <row r="731" spans="1:6">
      <c r="A731"/>
      <c r="B731" s="223"/>
      <c r="D731" s="105"/>
      <c r="E731" s="105"/>
      <c r="F731" s="105"/>
    </row>
    <row r="732" spans="1:6">
      <c r="A732"/>
      <c r="B732" s="223"/>
      <c r="D732" s="105"/>
      <c r="E732" s="105"/>
      <c r="F732" s="105"/>
    </row>
    <row r="733" spans="1:6">
      <c r="A733"/>
      <c r="B733" s="223"/>
      <c r="D733" s="105"/>
      <c r="E733" s="105"/>
      <c r="F733" s="105"/>
    </row>
    <row r="734" spans="1:6">
      <c r="A734"/>
      <c r="B734" s="223"/>
      <c r="D734" s="105"/>
      <c r="E734" s="105"/>
      <c r="F734" s="105"/>
    </row>
    <row r="735" spans="1:6">
      <c r="A735"/>
      <c r="B735" s="223"/>
      <c r="D735" s="105"/>
      <c r="E735" s="105"/>
      <c r="F735" s="105"/>
    </row>
    <row r="736" spans="1:6">
      <c r="A736"/>
      <c r="B736" s="223"/>
      <c r="D736" s="105"/>
      <c r="E736" s="105"/>
      <c r="F736" s="105"/>
    </row>
    <row r="737" spans="1:6">
      <c r="A737"/>
      <c r="B737" s="223"/>
      <c r="D737" s="105"/>
      <c r="E737" s="105"/>
      <c r="F737" s="105"/>
    </row>
    <row r="738" spans="1:6">
      <c r="A738"/>
      <c r="B738" s="223"/>
      <c r="D738" s="105"/>
      <c r="E738" s="105"/>
      <c r="F738" s="105"/>
    </row>
    <row r="739" spans="1:6">
      <c r="A739"/>
      <c r="B739" s="223"/>
      <c r="D739" s="105"/>
      <c r="E739" s="105"/>
      <c r="F739" s="105"/>
    </row>
    <row r="740" spans="1:6">
      <c r="A740"/>
      <c r="B740" s="223"/>
      <c r="D740" s="105"/>
      <c r="E740" s="105"/>
      <c r="F740" s="105"/>
    </row>
    <row r="741" spans="1:6">
      <c r="A741"/>
      <c r="B741" s="223"/>
      <c r="D741" s="105"/>
      <c r="E741" s="105"/>
      <c r="F741" s="105"/>
    </row>
    <row r="742" spans="1:6">
      <c r="A742"/>
      <c r="B742" s="223"/>
      <c r="D742" s="105"/>
      <c r="E742" s="105"/>
      <c r="F742" s="105"/>
    </row>
    <row r="743" spans="1:6">
      <c r="A743"/>
      <c r="B743" s="223"/>
      <c r="D743" s="105"/>
      <c r="E743" s="105"/>
      <c r="F743" s="105"/>
    </row>
    <row r="744" spans="1:6">
      <c r="A744"/>
      <c r="B744" s="223"/>
      <c r="D744" s="105"/>
      <c r="E744" s="105"/>
      <c r="F744" s="105"/>
    </row>
    <row r="745" spans="1:6">
      <c r="A745"/>
      <c r="B745" s="223"/>
      <c r="D745" s="105"/>
      <c r="E745" s="105"/>
      <c r="F745" s="105"/>
    </row>
    <row r="746" spans="1:6">
      <c r="A746"/>
      <c r="B746" s="223"/>
      <c r="D746" s="105"/>
      <c r="E746" s="105"/>
      <c r="F746" s="105"/>
    </row>
    <row r="747" spans="1:6">
      <c r="A747"/>
      <c r="B747" s="223"/>
      <c r="D747" s="105"/>
      <c r="E747" s="105"/>
      <c r="F747" s="105"/>
    </row>
    <row r="748" spans="1:6">
      <c r="A748"/>
      <c r="B748" s="223"/>
      <c r="D748" s="105"/>
      <c r="E748" s="105"/>
      <c r="F748" s="105"/>
    </row>
    <row r="749" spans="1:6">
      <c r="A749"/>
      <c r="B749" s="223"/>
      <c r="D749" s="105"/>
      <c r="E749" s="105"/>
      <c r="F749" s="105"/>
    </row>
    <row r="750" spans="1:6">
      <c r="A750"/>
      <c r="B750" s="223"/>
      <c r="D750" s="105"/>
      <c r="E750" s="105"/>
      <c r="F750" s="105"/>
    </row>
    <row r="751" spans="1:6">
      <c r="A751"/>
      <c r="B751" s="223"/>
      <c r="D751" s="105"/>
      <c r="E751" s="105"/>
      <c r="F751" s="105"/>
    </row>
    <row r="752" spans="1:6">
      <c r="A752"/>
      <c r="B752" s="223"/>
      <c r="D752" s="105"/>
      <c r="E752" s="105"/>
      <c r="F752" s="105"/>
    </row>
    <row r="753" spans="1:6">
      <c r="A753"/>
      <c r="B753" s="223"/>
      <c r="D753" s="105"/>
      <c r="E753" s="105"/>
      <c r="F753" s="105"/>
    </row>
    <row r="754" spans="1:6">
      <c r="A754"/>
      <c r="B754" s="223"/>
      <c r="D754" s="105"/>
      <c r="E754" s="105"/>
      <c r="F754" s="105"/>
    </row>
    <row r="755" spans="1:6">
      <c r="A755"/>
      <c r="B755" s="223"/>
      <c r="D755" s="105"/>
      <c r="E755" s="105"/>
      <c r="F755" s="105"/>
    </row>
    <row r="756" spans="1:6">
      <c r="A756"/>
      <c r="B756" s="223"/>
      <c r="D756" s="105"/>
      <c r="E756" s="105"/>
      <c r="F756" s="105"/>
    </row>
    <row r="757" spans="1:6">
      <c r="A757"/>
      <c r="B757" s="223"/>
      <c r="D757" s="105"/>
      <c r="E757" s="105"/>
      <c r="F757" s="105"/>
    </row>
    <row r="758" spans="1:6">
      <c r="A758"/>
      <c r="B758" s="223"/>
      <c r="D758" s="105"/>
      <c r="E758" s="105"/>
      <c r="F758" s="105"/>
    </row>
    <row r="759" spans="1:6">
      <c r="A759"/>
      <c r="B759" s="223"/>
      <c r="D759" s="105"/>
      <c r="E759" s="105"/>
      <c r="F759" s="105"/>
    </row>
    <row r="760" spans="1:6">
      <c r="A760"/>
      <c r="B760" s="223"/>
      <c r="D760" s="105"/>
      <c r="E760" s="105"/>
      <c r="F760" s="105"/>
    </row>
    <row r="761" spans="1:6">
      <c r="A761"/>
      <c r="B761" s="223"/>
      <c r="D761" s="105"/>
      <c r="E761" s="105"/>
      <c r="F761" s="105"/>
    </row>
    <row r="762" spans="1:6">
      <c r="A762"/>
      <c r="B762" s="223"/>
      <c r="D762" s="105"/>
      <c r="E762" s="105"/>
      <c r="F762" s="105"/>
    </row>
    <row r="763" spans="1:6">
      <c r="A763"/>
      <c r="B763" s="223"/>
      <c r="D763" s="105"/>
      <c r="E763" s="105"/>
      <c r="F763" s="105"/>
    </row>
    <row r="764" spans="1:6">
      <c r="A764"/>
      <c r="B764" s="223"/>
      <c r="D764" s="105"/>
      <c r="E764" s="105"/>
      <c r="F764" s="105"/>
    </row>
    <row r="765" spans="1:6">
      <c r="A765"/>
      <c r="B765" s="223"/>
      <c r="D765" s="105"/>
      <c r="E765" s="105"/>
      <c r="F765" s="105"/>
    </row>
    <row r="766" spans="1:6">
      <c r="A766"/>
      <c r="B766" s="223"/>
      <c r="D766" s="105"/>
      <c r="E766" s="105"/>
      <c r="F766" s="105"/>
    </row>
    <row r="767" spans="1:6">
      <c r="A767"/>
      <c r="B767" s="223"/>
      <c r="D767" s="105"/>
      <c r="E767" s="105"/>
      <c r="F767" s="105"/>
    </row>
    <row r="768" spans="1:6">
      <c r="A768"/>
      <c r="B768" s="223"/>
      <c r="D768" s="105"/>
      <c r="E768" s="105"/>
      <c r="F768" s="105"/>
    </row>
    <row r="769" spans="1:6">
      <c r="A769"/>
      <c r="B769" s="223"/>
      <c r="D769" s="105"/>
      <c r="E769" s="105"/>
      <c r="F769" s="105"/>
    </row>
    <row r="770" spans="1:6">
      <c r="A770"/>
      <c r="B770" s="223"/>
      <c r="D770" s="105"/>
      <c r="E770" s="105"/>
      <c r="F770" s="105"/>
    </row>
    <row r="771" spans="1:6">
      <c r="A771"/>
      <c r="B771" s="223"/>
      <c r="D771" s="105"/>
      <c r="E771" s="105"/>
      <c r="F771" s="105"/>
    </row>
    <row r="772" spans="1:6">
      <c r="A772"/>
      <c r="B772" s="223"/>
      <c r="D772" s="105"/>
      <c r="E772" s="105"/>
      <c r="F772" s="105"/>
    </row>
    <row r="773" spans="1:6">
      <c r="A773"/>
      <c r="B773" s="223"/>
      <c r="D773" s="105"/>
      <c r="E773" s="105"/>
      <c r="F773" s="105"/>
    </row>
    <row r="774" spans="1:6">
      <c r="A774"/>
      <c r="B774" s="223"/>
      <c r="D774" s="105"/>
      <c r="E774" s="105"/>
      <c r="F774" s="105"/>
    </row>
    <row r="775" spans="1:6">
      <c r="A775"/>
      <c r="B775" s="223"/>
      <c r="D775" s="105"/>
      <c r="E775" s="105"/>
      <c r="F775" s="105"/>
    </row>
    <row r="776" spans="1:6">
      <c r="A776"/>
      <c r="B776" s="223"/>
      <c r="D776" s="105"/>
      <c r="E776" s="105"/>
      <c r="F776" s="105"/>
    </row>
    <row r="777" spans="1:6">
      <c r="A777"/>
      <c r="B777" s="223"/>
      <c r="D777" s="105"/>
      <c r="E777" s="105"/>
      <c r="F777" s="105"/>
    </row>
    <row r="778" spans="1:6">
      <c r="A778"/>
      <c r="B778" s="223"/>
      <c r="D778" s="105"/>
      <c r="E778" s="105"/>
      <c r="F778" s="105"/>
    </row>
    <row r="779" spans="1:6">
      <c r="A779"/>
      <c r="B779" s="223"/>
      <c r="D779" s="105"/>
      <c r="E779" s="105"/>
      <c r="F779" s="105"/>
    </row>
    <row r="780" spans="1:6">
      <c r="A780"/>
      <c r="B780" s="223"/>
      <c r="D780" s="105"/>
      <c r="E780" s="105"/>
      <c r="F780" s="105"/>
    </row>
    <row r="781" spans="1:6">
      <c r="A781"/>
      <c r="B781" s="223"/>
      <c r="D781" s="105"/>
      <c r="E781" s="105"/>
      <c r="F781" s="105"/>
    </row>
    <row r="782" spans="1:6">
      <c r="A782"/>
      <c r="B782" s="223"/>
      <c r="D782" s="105"/>
      <c r="E782" s="105"/>
      <c r="F782" s="105"/>
    </row>
    <row r="783" spans="1:6">
      <c r="A783"/>
      <c r="B783" s="223"/>
      <c r="D783" s="105"/>
      <c r="E783" s="105"/>
      <c r="F783" s="105"/>
    </row>
    <row r="784" spans="1:6">
      <c r="A784"/>
      <c r="B784" s="223"/>
      <c r="D784" s="105"/>
      <c r="E784" s="105"/>
      <c r="F784" s="105"/>
    </row>
    <row r="785" spans="1:6">
      <c r="A785"/>
      <c r="B785" s="223"/>
      <c r="D785" s="105"/>
      <c r="E785" s="105"/>
      <c r="F785" s="105"/>
    </row>
    <row r="786" spans="1:6">
      <c r="A786"/>
      <c r="B786" s="223"/>
      <c r="D786" s="105"/>
      <c r="E786" s="105"/>
      <c r="F786" s="105"/>
    </row>
    <row r="787" spans="1:6">
      <c r="A787"/>
      <c r="B787" s="223"/>
      <c r="D787" s="105"/>
      <c r="E787" s="105"/>
      <c r="F787" s="105"/>
    </row>
    <row r="788" spans="1:6">
      <c r="A788"/>
      <c r="B788" s="223"/>
      <c r="D788" s="105"/>
      <c r="E788" s="105"/>
      <c r="F788" s="105"/>
    </row>
    <row r="789" spans="1:6">
      <c r="A789"/>
      <c r="B789" s="223"/>
      <c r="D789" s="105"/>
      <c r="E789" s="105"/>
      <c r="F789" s="105"/>
    </row>
    <row r="790" spans="1:6">
      <c r="A790"/>
      <c r="B790" s="223"/>
      <c r="D790" s="105"/>
      <c r="E790" s="105"/>
      <c r="F790" s="105"/>
    </row>
    <row r="791" spans="1:6">
      <c r="A791"/>
      <c r="B791" s="223"/>
      <c r="D791" s="105"/>
      <c r="E791" s="105"/>
      <c r="F791" s="105"/>
    </row>
    <row r="792" spans="1:6">
      <c r="A792"/>
      <c r="B792" s="223"/>
      <c r="D792" s="105"/>
      <c r="E792" s="105"/>
      <c r="F792" s="105"/>
    </row>
    <row r="793" spans="1:6">
      <c r="A793"/>
      <c r="B793" s="223"/>
      <c r="D793" s="105"/>
      <c r="E793" s="105"/>
      <c r="F793" s="105"/>
    </row>
    <row r="794" spans="1:6">
      <c r="A794"/>
      <c r="B794" s="223"/>
      <c r="D794" s="105"/>
      <c r="E794" s="105"/>
      <c r="F794" s="105"/>
    </row>
    <row r="795" spans="1:6">
      <c r="A795"/>
      <c r="B795" s="223"/>
      <c r="D795" s="105"/>
      <c r="E795" s="105"/>
      <c r="F795" s="105"/>
    </row>
    <row r="796" spans="1:6">
      <c r="A796"/>
      <c r="B796" s="223"/>
      <c r="D796" s="105"/>
      <c r="E796" s="105"/>
      <c r="F796" s="105"/>
    </row>
    <row r="797" spans="1:6">
      <c r="A797"/>
      <c r="B797" s="223"/>
      <c r="D797" s="105"/>
      <c r="E797" s="105"/>
      <c r="F797" s="105"/>
    </row>
    <row r="798" spans="1:6">
      <c r="A798"/>
      <c r="B798" s="223"/>
      <c r="D798" s="105"/>
      <c r="E798" s="105"/>
      <c r="F798" s="105"/>
    </row>
    <row r="799" spans="1:6">
      <c r="A799"/>
      <c r="B799" s="223"/>
      <c r="D799" s="105"/>
      <c r="E799" s="105"/>
      <c r="F799" s="105"/>
    </row>
    <row r="800" spans="1:6">
      <c r="A800"/>
      <c r="B800" s="223"/>
      <c r="D800" s="105"/>
      <c r="E800" s="105"/>
      <c r="F800" s="105"/>
    </row>
    <row r="801" spans="1:6">
      <c r="A801"/>
      <c r="B801" s="223"/>
      <c r="D801" s="105"/>
      <c r="E801" s="105"/>
      <c r="F801" s="105"/>
    </row>
    <row r="802" spans="1:6">
      <c r="A802"/>
      <c r="B802" s="223"/>
      <c r="D802" s="105"/>
      <c r="E802" s="105"/>
      <c r="F802" s="105"/>
    </row>
    <row r="803" spans="1:6">
      <c r="A803"/>
      <c r="B803" s="223"/>
      <c r="D803" s="105"/>
      <c r="E803" s="105"/>
      <c r="F803" s="105"/>
    </row>
    <row r="804" spans="1:6">
      <c r="A804"/>
      <c r="B804" s="223"/>
      <c r="D804" s="105"/>
      <c r="E804" s="105"/>
      <c r="F804" s="105"/>
    </row>
    <row r="805" spans="1:6">
      <c r="A805"/>
      <c r="B805" s="223"/>
      <c r="D805" s="105"/>
      <c r="E805" s="105"/>
      <c r="F805" s="105"/>
    </row>
    <row r="806" spans="1:6">
      <c r="A806"/>
      <c r="B806" s="223"/>
      <c r="D806" s="105"/>
      <c r="E806" s="105"/>
      <c r="F806" s="105"/>
    </row>
    <row r="807" spans="1:6">
      <c r="A807"/>
      <c r="B807" s="223"/>
      <c r="D807" s="105"/>
      <c r="E807" s="105"/>
      <c r="F807" s="105"/>
    </row>
    <row r="808" spans="1:6">
      <c r="A808"/>
      <c r="B808" s="223"/>
      <c r="D808" s="105"/>
      <c r="E808" s="105"/>
      <c r="F808" s="105"/>
    </row>
    <row r="809" spans="1:6">
      <c r="A809"/>
      <c r="B809" s="223"/>
      <c r="D809" s="105"/>
      <c r="E809" s="105"/>
      <c r="F809" s="105"/>
    </row>
    <row r="810" spans="1:6">
      <c r="A810"/>
      <c r="B810" s="223"/>
      <c r="D810" s="105"/>
      <c r="E810" s="105"/>
      <c r="F810" s="105"/>
    </row>
    <row r="811" spans="1:6">
      <c r="A811"/>
      <c r="B811" s="223"/>
      <c r="D811" s="105"/>
      <c r="E811" s="105"/>
      <c r="F811" s="105"/>
    </row>
    <row r="812" spans="1:6">
      <c r="A812"/>
      <c r="B812" s="223"/>
      <c r="D812" s="105"/>
      <c r="E812" s="105"/>
      <c r="F812" s="105"/>
    </row>
    <row r="813" spans="1:6">
      <c r="A813"/>
      <c r="B813" s="223"/>
      <c r="D813" s="105"/>
      <c r="E813" s="105"/>
      <c r="F813" s="105"/>
    </row>
    <row r="814" spans="1:6">
      <c r="A814"/>
      <c r="B814" s="223"/>
      <c r="D814" s="105"/>
      <c r="E814" s="105"/>
      <c r="F814" s="105"/>
    </row>
    <row r="815" spans="1:6">
      <c r="A815"/>
      <c r="B815" s="223"/>
      <c r="D815" s="105"/>
      <c r="E815" s="105"/>
      <c r="F815" s="105"/>
    </row>
    <row r="816" spans="1:6">
      <c r="A816"/>
      <c r="B816" s="223"/>
      <c r="D816" s="105"/>
      <c r="E816" s="105"/>
      <c r="F816" s="105"/>
    </row>
    <row r="817" spans="1:6">
      <c r="A817"/>
      <c r="B817" s="223"/>
      <c r="D817" s="105"/>
      <c r="E817" s="105"/>
      <c r="F817" s="105"/>
    </row>
    <row r="818" spans="1:6">
      <c r="A818"/>
      <c r="B818" s="223"/>
      <c r="D818" s="105"/>
      <c r="E818" s="105"/>
      <c r="F818" s="105"/>
    </row>
    <row r="819" spans="1:6">
      <c r="A819"/>
      <c r="B819" s="223"/>
      <c r="D819" s="105"/>
      <c r="E819" s="105"/>
      <c r="F819" s="105"/>
    </row>
    <row r="820" spans="1:6">
      <c r="A820"/>
      <c r="B820" s="223"/>
      <c r="D820" s="105"/>
      <c r="E820" s="105"/>
      <c r="F820" s="105"/>
    </row>
    <row r="821" spans="1:6">
      <c r="A821"/>
      <c r="B821" s="223"/>
      <c r="D821" s="105"/>
      <c r="E821" s="105"/>
      <c r="F821" s="105"/>
    </row>
    <row r="822" spans="1:6">
      <c r="A822"/>
      <c r="B822" s="223"/>
      <c r="D822" s="105"/>
      <c r="E822" s="105"/>
      <c r="F822" s="105"/>
    </row>
    <row r="823" spans="1:6">
      <c r="A823"/>
      <c r="B823" s="223"/>
      <c r="D823" s="105"/>
      <c r="E823" s="105"/>
      <c r="F823" s="105"/>
    </row>
    <row r="824" spans="1:6">
      <c r="A824"/>
      <c r="B824" s="223"/>
      <c r="D824" s="105"/>
      <c r="E824" s="105"/>
      <c r="F824" s="105"/>
    </row>
    <row r="825" spans="1:6">
      <c r="A825"/>
      <c r="B825" s="223"/>
      <c r="D825" s="105"/>
      <c r="E825" s="105"/>
      <c r="F825" s="105"/>
    </row>
    <row r="826" spans="1:6">
      <c r="A826"/>
      <c r="B826" s="223"/>
      <c r="D826" s="105"/>
      <c r="E826" s="105"/>
      <c r="F826" s="105"/>
    </row>
    <row r="827" spans="1:6">
      <c r="A827"/>
      <c r="B827" s="223"/>
      <c r="D827" s="105"/>
      <c r="E827" s="105"/>
      <c r="F827" s="105"/>
    </row>
    <row r="828" spans="1:6">
      <c r="A828"/>
      <c r="B828" s="223"/>
      <c r="D828" s="105"/>
      <c r="E828" s="105"/>
      <c r="F828" s="105"/>
    </row>
    <row r="829" spans="1:6">
      <c r="A829"/>
      <c r="B829" s="223"/>
      <c r="D829" s="105"/>
      <c r="E829" s="105"/>
      <c r="F829" s="105"/>
    </row>
    <row r="830" spans="1:6">
      <c r="A830"/>
      <c r="B830" s="223"/>
      <c r="D830" s="105"/>
      <c r="E830" s="105"/>
      <c r="F830" s="105"/>
    </row>
    <row r="831" spans="1:6">
      <c r="A831"/>
      <c r="B831" s="223"/>
      <c r="D831" s="105"/>
      <c r="E831" s="105"/>
      <c r="F831" s="105"/>
    </row>
    <row r="832" spans="1:6">
      <c r="A832"/>
      <c r="B832" s="223"/>
      <c r="D832" s="105"/>
      <c r="E832" s="105"/>
      <c r="F832" s="105"/>
    </row>
    <row r="833" spans="1:6">
      <c r="A833"/>
      <c r="B833" s="223"/>
      <c r="D833" s="105"/>
      <c r="E833" s="105"/>
      <c r="F833" s="105"/>
    </row>
    <row r="834" spans="1:6">
      <c r="A834"/>
      <c r="B834" s="223"/>
      <c r="D834" s="105"/>
      <c r="E834" s="105"/>
      <c r="F834" s="105"/>
    </row>
    <row r="835" spans="1:6">
      <c r="A835"/>
      <c r="B835" s="223"/>
      <c r="D835" s="105"/>
      <c r="E835" s="105"/>
      <c r="F835" s="105"/>
    </row>
    <row r="836" spans="1:6">
      <c r="A836"/>
      <c r="B836" s="223"/>
      <c r="D836" s="105"/>
      <c r="E836" s="105"/>
      <c r="F836" s="105"/>
    </row>
    <row r="837" spans="1:6">
      <c r="A837"/>
      <c r="B837" s="223"/>
      <c r="D837" s="105"/>
      <c r="E837" s="105"/>
      <c r="F837" s="105"/>
    </row>
    <row r="838" spans="1:6">
      <c r="A838"/>
      <c r="B838" s="223"/>
      <c r="D838" s="105"/>
      <c r="E838" s="105"/>
      <c r="F838" s="105"/>
    </row>
    <row r="839" spans="1:6">
      <c r="A839"/>
      <c r="B839" s="223"/>
      <c r="D839" s="105"/>
      <c r="E839" s="105"/>
      <c r="F839" s="105"/>
    </row>
    <row r="840" spans="1:6">
      <c r="A840"/>
      <c r="B840" s="223"/>
      <c r="D840" s="105"/>
      <c r="E840" s="105"/>
      <c r="F840" s="105"/>
    </row>
    <row r="841" spans="1:6">
      <c r="A841"/>
      <c r="B841" s="223"/>
      <c r="D841" s="105"/>
      <c r="E841" s="105"/>
      <c r="F841" s="105"/>
    </row>
    <row r="842" spans="1:6">
      <c r="A842"/>
      <c r="B842" s="223"/>
      <c r="D842" s="105"/>
      <c r="E842" s="105"/>
      <c r="F842" s="105"/>
    </row>
    <row r="843" spans="1:6">
      <c r="A843"/>
      <c r="B843" s="223"/>
      <c r="D843" s="105"/>
      <c r="E843" s="105"/>
      <c r="F843" s="105"/>
    </row>
    <row r="844" spans="1:6">
      <c r="A844"/>
      <c r="B844" s="223"/>
      <c r="D844" s="105"/>
      <c r="E844" s="105"/>
      <c r="F844" s="105"/>
    </row>
    <row r="845" spans="1:6">
      <c r="A845"/>
      <c r="B845" s="223"/>
      <c r="D845" s="105"/>
      <c r="E845" s="105"/>
      <c r="F845" s="105"/>
    </row>
    <row r="846" spans="1:6">
      <c r="A846"/>
      <c r="B846" s="223"/>
      <c r="D846" s="105"/>
      <c r="E846" s="105"/>
      <c r="F846" s="105"/>
    </row>
    <row r="847" spans="1:6">
      <c r="A847"/>
      <c r="B847" s="223"/>
      <c r="D847" s="105"/>
      <c r="E847" s="105"/>
      <c r="F847" s="105"/>
    </row>
    <row r="848" spans="1:6">
      <c r="A848"/>
      <c r="B848" s="223"/>
      <c r="D848" s="105"/>
      <c r="E848" s="105"/>
      <c r="F848" s="105"/>
    </row>
    <row r="849" spans="1:6">
      <c r="A849"/>
      <c r="B849" s="223"/>
      <c r="D849" s="105"/>
      <c r="E849" s="105"/>
      <c r="F849" s="105"/>
    </row>
    <row r="850" spans="1:6">
      <c r="A850"/>
      <c r="B850" s="223"/>
      <c r="D850" s="105"/>
      <c r="E850" s="105"/>
      <c r="F850" s="105"/>
    </row>
    <row r="851" spans="1:6">
      <c r="A851"/>
      <c r="B851" s="223"/>
      <c r="D851" s="105"/>
      <c r="E851" s="105"/>
      <c r="F851" s="105"/>
    </row>
    <row r="852" spans="1:6">
      <c r="A852"/>
      <c r="B852" s="223"/>
      <c r="D852" s="105"/>
      <c r="E852" s="105"/>
      <c r="F852" s="105"/>
    </row>
    <row r="853" spans="1:6">
      <c r="A853"/>
      <c r="B853" s="223"/>
      <c r="D853" s="105"/>
      <c r="E853" s="105"/>
      <c r="F853" s="105"/>
    </row>
    <row r="854" spans="1:6">
      <c r="A854"/>
      <c r="B854" s="223"/>
      <c r="D854" s="105"/>
      <c r="E854" s="105"/>
      <c r="F854" s="105"/>
    </row>
    <row r="855" spans="1:6">
      <c r="A855"/>
      <c r="B855" s="223"/>
      <c r="D855" s="105"/>
      <c r="E855" s="105"/>
      <c r="F855" s="105"/>
    </row>
    <row r="856" spans="1:6">
      <c r="A856"/>
      <c r="B856" s="223"/>
      <c r="D856" s="105"/>
      <c r="E856" s="105"/>
      <c r="F856" s="105"/>
    </row>
    <row r="857" spans="1:6">
      <c r="A857"/>
      <c r="B857" s="223"/>
      <c r="D857" s="105"/>
      <c r="E857" s="105"/>
      <c r="F857" s="105"/>
    </row>
    <row r="858" spans="1:6">
      <c r="A858"/>
      <c r="B858" s="223"/>
      <c r="D858" s="105"/>
      <c r="E858" s="105"/>
      <c r="F858" s="105"/>
    </row>
    <row r="859" spans="1:6">
      <c r="A859"/>
      <c r="B859" s="223"/>
      <c r="D859" s="105"/>
      <c r="E859" s="105"/>
      <c r="F859" s="105"/>
    </row>
    <row r="860" spans="1:6">
      <c r="A860"/>
      <c r="B860" s="223"/>
      <c r="D860" s="105"/>
      <c r="E860" s="105"/>
      <c r="F860" s="105"/>
    </row>
    <row r="861" spans="1:6">
      <c r="A861"/>
      <c r="B861" s="223"/>
      <c r="D861" s="105"/>
      <c r="E861" s="105"/>
      <c r="F861" s="105"/>
    </row>
    <row r="862" spans="1:6">
      <c r="A862"/>
      <c r="B862" s="223"/>
      <c r="D862" s="105"/>
      <c r="E862" s="105"/>
      <c r="F862" s="105"/>
    </row>
    <row r="863" spans="1:6">
      <c r="A863"/>
      <c r="B863" s="223"/>
      <c r="D863" s="105"/>
      <c r="E863" s="105"/>
      <c r="F863" s="105"/>
    </row>
    <row r="864" spans="1:6">
      <c r="A864"/>
      <c r="B864" s="223"/>
      <c r="D864" s="105"/>
      <c r="E864" s="105"/>
      <c r="F864" s="105"/>
    </row>
    <row r="865" spans="1:6">
      <c r="A865"/>
      <c r="B865" s="223"/>
      <c r="D865" s="105"/>
      <c r="E865" s="105"/>
      <c r="F865" s="105"/>
    </row>
    <row r="866" spans="1:6">
      <c r="A866"/>
      <c r="B866" s="223"/>
      <c r="D866" s="105"/>
      <c r="E866" s="105"/>
      <c r="F866" s="105"/>
    </row>
    <row r="867" spans="1:6">
      <c r="A867"/>
      <c r="B867" s="223"/>
      <c r="D867" s="105"/>
      <c r="E867" s="105"/>
      <c r="F867" s="105"/>
    </row>
    <row r="868" spans="1:6">
      <c r="A868"/>
      <c r="B868" s="223"/>
      <c r="D868" s="105"/>
      <c r="E868" s="105"/>
      <c r="F868" s="105"/>
    </row>
    <row r="869" spans="1:6">
      <c r="A869"/>
      <c r="B869" s="223"/>
      <c r="D869" s="105"/>
      <c r="E869" s="105"/>
      <c r="F869" s="105"/>
    </row>
    <row r="870" spans="1:6">
      <c r="A870"/>
      <c r="B870" s="223"/>
      <c r="D870" s="105"/>
      <c r="E870" s="105"/>
      <c r="F870" s="105"/>
    </row>
    <row r="871" spans="1:6">
      <c r="A871"/>
      <c r="B871" s="223"/>
      <c r="D871" s="105"/>
      <c r="E871" s="105"/>
      <c r="F871" s="105"/>
    </row>
    <row r="872" spans="1:6">
      <c r="A872"/>
      <c r="B872" s="223"/>
      <c r="D872" s="105"/>
      <c r="E872" s="105"/>
      <c r="F872" s="105"/>
    </row>
    <row r="873" spans="1:6">
      <c r="A873"/>
      <c r="B873" s="223"/>
      <c r="D873" s="105"/>
      <c r="E873" s="105"/>
      <c r="F873" s="105"/>
    </row>
    <row r="874" spans="1:6">
      <c r="A874"/>
      <c r="B874" s="223"/>
      <c r="D874" s="105"/>
      <c r="E874" s="105"/>
      <c r="F874" s="105"/>
    </row>
    <row r="875" spans="1:6">
      <c r="A875"/>
      <c r="B875" s="223"/>
      <c r="D875" s="105"/>
      <c r="E875" s="105"/>
      <c r="F875" s="105"/>
    </row>
    <row r="876" spans="1:6">
      <c r="A876"/>
      <c r="B876" s="223"/>
      <c r="D876" s="105"/>
      <c r="E876" s="105"/>
      <c r="F876" s="105"/>
    </row>
    <row r="877" spans="1:6">
      <c r="A877"/>
      <c r="B877" s="223"/>
      <c r="D877" s="105"/>
      <c r="E877" s="105"/>
      <c r="F877" s="105"/>
    </row>
    <row r="878" spans="1:6">
      <c r="A878"/>
      <c r="B878" s="223"/>
      <c r="D878" s="105"/>
      <c r="E878" s="105"/>
      <c r="F878" s="105"/>
    </row>
    <row r="879" spans="1:6">
      <c r="A879"/>
      <c r="B879" s="223"/>
      <c r="D879" s="105"/>
      <c r="E879" s="105"/>
      <c r="F879" s="105"/>
    </row>
    <row r="880" spans="1:6">
      <c r="A880"/>
      <c r="B880" s="223"/>
      <c r="D880" s="105"/>
      <c r="E880" s="105"/>
      <c r="F880" s="105"/>
    </row>
    <row r="881" spans="1:6">
      <c r="A881"/>
      <c r="B881" s="223"/>
      <c r="D881" s="105"/>
      <c r="E881" s="105"/>
      <c r="F881" s="105"/>
    </row>
    <row r="882" spans="1:6">
      <c r="A882"/>
      <c r="B882" s="223"/>
      <c r="D882" s="105"/>
      <c r="E882" s="105"/>
      <c r="F882" s="105"/>
    </row>
    <row r="883" spans="1:6">
      <c r="A883"/>
      <c r="B883" s="223"/>
      <c r="D883" s="105"/>
      <c r="E883" s="105"/>
      <c r="F883" s="105"/>
    </row>
    <row r="884" spans="1:6">
      <c r="A884"/>
      <c r="B884" s="223"/>
      <c r="D884" s="105"/>
      <c r="E884" s="105"/>
      <c r="F884" s="105"/>
    </row>
    <row r="885" spans="1:6">
      <c r="A885"/>
      <c r="B885" s="223"/>
      <c r="D885" s="105"/>
      <c r="E885" s="105"/>
      <c r="F885" s="105"/>
    </row>
    <row r="886" spans="1:6">
      <c r="A886"/>
      <c r="B886" s="223"/>
      <c r="D886" s="105"/>
      <c r="E886" s="105"/>
      <c r="F886" s="105"/>
    </row>
    <row r="887" spans="1:6">
      <c r="A887"/>
      <c r="B887" s="223"/>
      <c r="D887" s="105"/>
      <c r="E887" s="105"/>
      <c r="F887" s="105"/>
    </row>
    <row r="888" spans="1:6">
      <c r="A888"/>
      <c r="B888" s="223"/>
      <c r="D888" s="105"/>
      <c r="E888" s="105"/>
      <c r="F888" s="105"/>
    </row>
    <row r="889" spans="1:6">
      <c r="A889"/>
      <c r="B889" s="223"/>
      <c r="D889" s="105"/>
      <c r="E889" s="105"/>
      <c r="F889" s="105"/>
    </row>
    <row r="890" spans="1:6">
      <c r="A890"/>
      <c r="B890" s="223"/>
      <c r="D890" s="105"/>
      <c r="E890" s="105"/>
      <c r="F890" s="105"/>
    </row>
    <row r="891" spans="1:6">
      <c r="A891"/>
      <c r="B891" s="223"/>
      <c r="D891" s="105"/>
      <c r="E891" s="105"/>
      <c r="F891" s="105"/>
    </row>
    <row r="892" spans="1:6">
      <c r="A892"/>
      <c r="B892" s="223"/>
      <c r="D892" s="105"/>
      <c r="E892" s="105"/>
      <c r="F892" s="105"/>
    </row>
    <row r="893" spans="1:6">
      <c r="A893"/>
      <c r="B893" s="223"/>
      <c r="D893" s="105"/>
      <c r="E893" s="105"/>
      <c r="F893" s="105"/>
    </row>
    <row r="894" spans="1:6">
      <c r="A894"/>
      <c r="B894" s="223"/>
      <c r="D894" s="105"/>
      <c r="E894" s="105"/>
      <c r="F894" s="105"/>
    </row>
    <row r="895" spans="1:6">
      <c r="A895"/>
      <c r="B895" s="223"/>
      <c r="D895" s="105"/>
      <c r="E895" s="105"/>
      <c r="F895" s="105"/>
    </row>
    <row r="896" spans="1:6">
      <c r="A896"/>
      <c r="B896" s="223"/>
      <c r="D896" s="105"/>
      <c r="E896" s="105"/>
      <c r="F896" s="105"/>
    </row>
    <row r="897" spans="1:6">
      <c r="A897"/>
      <c r="B897" s="223"/>
      <c r="D897" s="105"/>
      <c r="E897" s="105"/>
      <c r="F897" s="105"/>
    </row>
    <row r="898" spans="1:6">
      <c r="A898"/>
      <c r="B898" s="223"/>
      <c r="D898" s="105"/>
      <c r="E898" s="105"/>
      <c r="F898" s="105"/>
    </row>
    <row r="899" spans="1:6">
      <c r="A899"/>
      <c r="B899" s="223"/>
      <c r="D899" s="105"/>
      <c r="E899" s="105"/>
      <c r="F899" s="105"/>
    </row>
    <row r="900" spans="1:6">
      <c r="A900"/>
      <c r="B900" s="223"/>
      <c r="D900" s="105"/>
      <c r="E900" s="105"/>
      <c r="F900" s="105"/>
    </row>
    <row r="901" spans="1:6">
      <c r="A901"/>
      <c r="B901" s="223"/>
      <c r="D901" s="105"/>
      <c r="E901" s="105"/>
      <c r="F901" s="105"/>
    </row>
    <row r="902" spans="1:6">
      <c r="A902"/>
      <c r="B902" s="223"/>
      <c r="D902" s="105"/>
      <c r="E902" s="105"/>
      <c r="F902" s="105"/>
    </row>
    <row r="903" spans="1:6">
      <c r="A903"/>
      <c r="B903" s="223"/>
      <c r="D903" s="105"/>
      <c r="E903" s="105"/>
      <c r="F903" s="105"/>
    </row>
    <row r="904" spans="1:6">
      <c r="A904"/>
      <c r="B904" s="223"/>
      <c r="D904" s="105"/>
      <c r="E904" s="105"/>
      <c r="F904" s="105"/>
    </row>
    <row r="905" spans="1:6">
      <c r="A905"/>
      <c r="B905" s="223"/>
      <c r="D905" s="105"/>
      <c r="E905" s="105"/>
      <c r="F905" s="105"/>
    </row>
    <row r="906" spans="1:6">
      <c r="A906"/>
      <c r="B906" s="223"/>
      <c r="D906" s="105"/>
      <c r="E906" s="105"/>
      <c r="F906" s="105"/>
    </row>
    <row r="907" spans="1:6">
      <c r="A907"/>
      <c r="B907" s="223"/>
      <c r="D907" s="105"/>
      <c r="E907" s="105"/>
      <c r="F907" s="105"/>
    </row>
    <row r="908" spans="1:6">
      <c r="A908"/>
      <c r="B908" s="223"/>
      <c r="D908" s="105"/>
      <c r="E908" s="105"/>
      <c r="F908" s="105"/>
    </row>
    <row r="909" spans="1:6">
      <c r="A909"/>
      <c r="B909" s="223"/>
      <c r="D909" s="105"/>
      <c r="E909" s="105"/>
      <c r="F909" s="105"/>
    </row>
    <row r="910" spans="1:6">
      <c r="A910"/>
      <c r="B910" s="223"/>
      <c r="D910" s="105"/>
      <c r="E910" s="105"/>
      <c r="F910" s="105"/>
    </row>
    <row r="911" spans="1:6">
      <c r="A911"/>
      <c r="B911" s="223"/>
      <c r="D911" s="105"/>
      <c r="E911" s="105"/>
      <c r="F911" s="105"/>
    </row>
    <row r="912" spans="1:6">
      <c r="A912"/>
      <c r="B912" s="223"/>
      <c r="D912" s="105"/>
      <c r="E912" s="105"/>
      <c r="F912" s="105"/>
    </row>
    <row r="913" spans="1:6">
      <c r="A913"/>
      <c r="B913" s="223"/>
      <c r="D913" s="105"/>
      <c r="E913" s="105"/>
      <c r="F913" s="105"/>
    </row>
    <row r="914" spans="1:6">
      <c r="A914"/>
      <c r="B914" s="223"/>
      <c r="D914" s="105"/>
      <c r="E914" s="105"/>
      <c r="F914" s="105"/>
    </row>
    <row r="915" spans="1:6">
      <c r="A915"/>
      <c r="B915" s="223"/>
      <c r="D915" s="105"/>
      <c r="E915" s="105"/>
      <c r="F915" s="105"/>
    </row>
    <row r="916" spans="1:6">
      <c r="A916"/>
      <c r="B916" s="223"/>
      <c r="D916" s="105"/>
      <c r="E916" s="105"/>
      <c r="F916" s="105"/>
    </row>
    <row r="917" spans="1:6">
      <c r="A917"/>
      <c r="B917" s="223"/>
      <c r="D917" s="105"/>
      <c r="E917" s="105"/>
      <c r="F917" s="105"/>
    </row>
    <row r="918" spans="1:6">
      <c r="A918"/>
      <c r="B918" s="223"/>
      <c r="D918" s="105"/>
      <c r="E918" s="105"/>
      <c r="F918" s="105"/>
    </row>
    <row r="919" spans="1:6">
      <c r="A919"/>
      <c r="B919" s="223"/>
      <c r="D919" s="105"/>
      <c r="E919" s="105"/>
      <c r="F919" s="105"/>
    </row>
    <row r="920" spans="1:6">
      <c r="A920"/>
      <c r="B920" s="223"/>
      <c r="D920" s="105"/>
      <c r="E920" s="105"/>
      <c r="F920" s="105"/>
    </row>
    <row r="921" spans="1:6">
      <c r="A921"/>
      <c r="B921" s="223"/>
      <c r="D921" s="105"/>
      <c r="E921" s="105"/>
      <c r="F921" s="105"/>
    </row>
    <row r="922" spans="1:6">
      <c r="A922"/>
      <c r="B922" s="223"/>
      <c r="D922" s="105"/>
      <c r="E922" s="105"/>
      <c r="F922" s="105"/>
    </row>
    <row r="923" spans="1:6">
      <c r="A923"/>
      <c r="B923" s="223"/>
      <c r="D923" s="105"/>
      <c r="E923" s="105"/>
      <c r="F923" s="105"/>
    </row>
    <row r="924" spans="1:6">
      <c r="A924"/>
      <c r="B924" s="223"/>
      <c r="D924" s="105"/>
      <c r="E924" s="105"/>
      <c r="F924" s="105"/>
    </row>
    <row r="925" spans="1:6">
      <c r="A925"/>
      <c r="B925" s="223"/>
      <c r="D925" s="105"/>
      <c r="E925" s="105"/>
      <c r="F925" s="105"/>
    </row>
    <row r="926" spans="1:6">
      <c r="A926"/>
      <c r="B926" s="223"/>
      <c r="D926" s="105"/>
      <c r="E926" s="105"/>
      <c r="F926" s="105"/>
    </row>
    <row r="927" spans="1:6">
      <c r="A927"/>
      <c r="B927" s="223"/>
      <c r="D927" s="105"/>
      <c r="E927" s="105"/>
      <c r="F927" s="105"/>
    </row>
    <row r="928" spans="1:6">
      <c r="A928"/>
      <c r="B928" s="223"/>
      <c r="D928" s="105"/>
      <c r="E928" s="105"/>
      <c r="F928" s="105"/>
    </row>
    <row r="929" spans="1:6">
      <c r="A929"/>
      <c r="B929" s="223"/>
      <c r="D929" s="105"/>
      <c r="E929" s="105"/>
      <c r="F929" s="105"/>
    </row>
    <row r="930" spans="1:6">
      <c r="A930"/>
      <c r="B930" s="223"/>
      <c r="D930" s="105"/>
      <c r="E930" s="105"/>
      <c r="F930" s="105"/>
    </row>
    <row r="931" spans="1:6">
      <c r="A931"/>
      <c r="B931" s="223"/>
      <c r="D931" s="105"/>
      <c r="E931" s="105"/>
      <c r="F931" s="105"/>
    </row>
    <row r="932" spans="1:6">
      <c r="A932"/>
      <c r="B932" s="223"/>
      <c r="D932" s="105"/>
      <c r="E932" s="105"/>
      <c r="F932" s="105"/>
    </row>
    <row r="933" spans="1:6">
      <c r="A933"/>
      <c r="B933" s="223"/>
      <c r="D933" s="105"/>
      <c r="E933" s="105"/>
      <c r="F933" s="105"/>
    </row>
    <row r="934" spans="1:6">
      <c r="A934"/>
      <c r="B934" s="223"/>
      <c r="D934" s="105"/>
      <c r="E934" s="105"/>
      <c r="F934" s="105"/>
    </row>
    <row r="935" spans="1:6">
      <c r="A935"/>
      <c r="B935" s="223"/>
      <c r="D935" s="105"/>
      <c r="E935" s="105"/>
      <c r="F935" s="105"/>
    </row>
    <row r="936" spans="1:6">
      <c r="A936"/>
      <c r="B936" s="223"/>
      <c r="D936" s="105"/>
      <c r="E936" s="105"/>
      <c r="F936" s="105"/>
    </row>
    <row r="937" spans="1:6">
      <c r="A937"/>
      <c r="B937" s="223"/>
      <c r="D937" s="105"/>
      <c r="E937" s="105"/>
      <c r="F937" s="105"/>
    </row>
    <row r="938" spans="1:6">
      <c r="A938"/>
      <c r="B938" s="223"/>
      <c r="D938" s="105"/>
      <c r="E938" s="105"/>
      <c r="F938" s="105"/>
    </row>
    <row r="939" spans="1:6">
      <c r="A939"/>
      <c r="B939" s="223"/>
      <c r="D939" s="105"/>
      <c r="E939" s="105"/>
      <c r="F939" s="105"/>
    </row>
    <row r="940" spans="1:6">
      <c r="A940"/>
      <c r="B940" s="223"/>
      <c r="D940" s="105"/>
      <c r="E940" s="105"/>
      <c r="F940" s="105"/>
    </row>
    <row r="941" spans="1:6">
      <c r="A941"/>
      <c r="B941" s="223"/>
      <c r="D941" s="105"/>
      <c r="E941" s="105"/>
      <c r="F941" s="105"/>
    </row>
    <row r="942" spans="1:6">
      <c r="A942"/>
      <c r="B942" s="223"/>
      <c r="D942" s="105"/>
      <c r="E942" s="105"/>
      <c r="F942" s="105"/>
    </row>
    <row r="943" spans="1:6">
      <c r="A943"/>
      <c r="B943" s="223"/>
      <c r="D943" s="105"/>
      <c r="E943" s="105"/>
      <c r="F943" s="105"/>
    </row>
    <row r="944" spans="1:6">
      <c r="A944"/>
      <c r="B944" s="223"/>
      <c r="D944" s="105"/>
      <c r="E944" s="105"/>
      <c r="F944" s="105"/>
    </row>
    <row r="945" spans="1:6">
      <c r="A945"/>
      <c r="B945" s="223"/>
      <c r="D945" s="105"/>
      <c r="E945" s="105"/>
      <c r="F945" s="105"/>
    </row>
    <row r="946" spans="1:6">
      <c r="A946"/>
      <c r="B946" s="223"/>
      <c r="D946" s="105"/>
      <c r="E946" s="105"/>
      <c r="F946" s="105"/>
    </row>
    <row r="947" spans="1:6">
      <c r="A947"/>
      <c r="B947" s="223"/>
      <c r="D947" s="105"/>
      <c r="E947" s="105"/>
      <c r="F947" s="105"/>
    </row>
    <row r="948" spans="1:6">
      <c r="A948"/>
      <c r="B948" s="223"/>
      <c r="D948" s="105"/>
      <c r="E948" s="105"/>
      <c r="F948" s="105"/>
    </row>
    <row r="949" spans="1:6">
      <c r="A949"/>
      <c r="B949" s="223"/>
      <c r="D949" s="105"/>
      <c r="E949" s="105"/>
      <c r="F949" s="105"/>
    </row>
    <row r="950" spans="1:6">
      <c r="A950"/>
      <c r="B950" s="223"/>
      <c r="D950" s="105"/>
      <c r="E950" s="105"/>
      <c r="F950" s="105"/>
    </row>
    <row r="951" spans="1:6">
      <c r="A951"/>
      <c r="B951" s="223"/>
      <c r="D951" s="105"/>
      <c r="E951" s="105"/>
      <c r="F951" s="105"/>
    </row>
    <row r="952" spans="1:6">
      <c r="A952"/>
      <c r="B952" s="223"/>
      <c r="D952" s="105"/>
      <c r="E952" s="105"/>
      <c r="F952" s="105"/>
    </row>
    <row r="953" spans="1:6">
      <c r="A953"/>
      <c r="B953" s="223"/>
      <c r="D953" s="105"/>
      <c r="E953" s="105"/>
      <c r="F953" s="105"/>
    </row>
    <row r="954" spans="1:6">
      <c r="A954"/>
      <c r="B954" s="223"/>
      <c r="D954" s="105"/>
      <c r="E954" s="105"/>
      <c r="F954" s="105"/>
    </row>
    <row r="955" spans="1:6">
      <c r="A955"/>
      <c r="B955" s="223"/>
      <c r="D955" s="105"/>
      <c r="E955" s="105"/>
      <c r="F955" s="105"/>
    </row>
    <row r="956" spans="1:6">
      <c r="A956"/>
      <c r="B956" s="223"/>
      <c r="D956" s="105"/>
      <c r="E956" s="105"/>
      <c r="F956" s="105"/>
    </row>
    <row r="957" spans="1:6">
      <c r="A957"/>
      <c r="B957" s="223"/>
      <c r="D957" s="105"/>
      <c r="E957" s="105"/>
      <c r="F957" s="105"/>
    </row>
    <row r="958" spans="1:6">
      <c r="A958"/>
      <c r="B958" s="223"/>
      <c r="D958" s="105"/>
      <c r="E958" s="105"/>
      <c r="F958" s="105"/>
    </row>
    <row r="959" spans="1:6">
      <c r="A959"/>
      <c r="B959" s="223"/>
      <c r="D959" s="105"/>
      <c r="E959" s="105"/>
      <c r="F959" s="105"/>
    </row>
    <row r="960" spans="1:6">
      <c r="A960"/>
      <c r="B960" s="223"/>
      <c r="D960" s="105"/>
      <c r="E960" s="105"/>
      <c r="F960" s="105"/>
    </row>
    <row r="961" spans="1:6">
      <c r="A961"/>
      <c r="B961" s="223"/>
      <c r="D961" s="105"/>
      <c r="E961" s="105"/>
      <c r="F961" s="105"/>
    </row>
    <row r="962" spans="1:6">
      <c r="A962"/>
      <c r="B962" s="223"/>
      <c r="D962" s="105"/>
      <c r="E962" s="105"/>
      <c r="F962" s="105"/>
    </row>
    <row r="963" spans="1:6">
      <c r="A963"/>
      <c r="B963" s="223"/>
      <c r="D963" s="105"/>
      <c r="E963" s="105"/>
      <c r="F963" s="105"/>
    </row>
    <row r="964" spans="1:6">
      <c r="A964"/>
      <c r="B964" s="223"/>
      <c r="D964" s="105"/>
      <c r="E964" s="105"/>
      <c r="F964" s="105"/>
    </row>
    <row r="965" spans="1:6">
      <c r="A965"/>
      <c r="B965" s="223"/>
      <c r="D965" s="105"/>
      <c r="E965" s="105"/>
      <c r="F965" s="105"/>
    </row>
    <row r="966" spans="1:6">
      <c r="A966"/>
      <c r="B966" s="223"/>
      <c r="D966" s="105"/>
      <c r="E966" s="105"/>
      <c r="F966" s="105"/>
    </row>
    <row r="967" spans="1:6">
      <c r="A967"/>
      <c r="B967" s="223"/>
      <c r="D967" s="105"/>
      <c r="E967" s="105"/>
      <c r="F967" s="105"/>
    </row>
    <row r="968" spans="1:6">
      <c r="A968"/>
      <c r="B968" s="223"/>
      <c r="D968" s="105"/>
      <c r="E968" s="105"/>
      <c r="F968" s="105"/>
    </row>
    <row r="969" spans="1:6">
      <c r="A969"/>
      <c r="B969" s="223"/>
      <c r="D969" s="105"/>
      <c r="E969" s="105"/>
      <c r="F969" s="105"/>
    </row>
    <row r="970" spans="1:6">
      <c r="A970"/>
      <c r="B970" s="223"/>
      <c r="D970" s="105"/>
      <c r="E970" s="105"/>
      <c r="F970" s="105"/>
    </row>
    <row r="971" spans="1:6">
      <c r="A971"/>
      <c r="B971" s="223"/>
      <c r="D971" s="105"/>
      <c r="E971" s="105"/>
      <c r="F971" s="105"/>
    </row>
    <row r="972" spans="1:6">
      <c r="A972"/>
      <c r="B972" s="223"/>
      <c r="D972" s="105"/>
      <c r="E972" s="105"/>
      <c r="F972" s="105"/>
    </row>
    <row r="973" spans="1:6">
      <c r="A973"/>
      <c r="B973" s="223"/>
      <c r="D973" s="105"/>
      <c r="E973" s="105"/>
      <c r="F973" s="105"/>
    </row>
    <row r="974" spans="1:6">
      <c r="A974"/>
      <c r="B974" s="223"/>
      <c r="D974" s="105"/>
      <c r="E974" s="105"/>
      <c r="F974" s="105"/>
    </row>
    <row r="975" spans="1:6">
      <c r="A975"/>
      <c r="B975" s="223"/>
      <c r="D975" s="105"/>
      <c r="E975" s="105"/>
      <c r="F975" s="105"/>
    </row>
    <row r="976" spans="1:6">
      <c r="A976"/>
      <c r="B976" s="223"/>
      <c r="D976" s="105"/>
      <c r="E976" s="105"/>
      <c r="F976" s="105"/>
    </row>
    <row r="977" spans="1:6">
      <c r="A977"/>
      <c r="B977" s="223"/>
      <c r="D977" s="105"/>
      <c r="E977" s="105"/>
      <c r="F977" s="105"/>
    </row>
    <row r="978" spans="1:6">
      <c r="A978"/>
      <c r="B978" s="223"/>
      <c r="D978" s="105"/>
      <c r="E978" s="105"/>
      <c r="F978" s="105"/>
    </row>
    <row r="979" spans="1:6">
      <c r="A979"/>
      <c r="B979" s="223"/>
      <c r="D979" s="105"/>
      <c r="E979" s="105"/>
      <c r="F979" s="105"/>
    </row>
    <row r="980" spans="1:6">
      <c r="A980"/>
      <c r="B980" s="223"/>
      <c r="D980" s="105"/>
      <c r="E980" s="105"/>
      <c r="F980" s="105"/>
    </row>
    <row r="981" spans="1:6">
      <c r="A981"/>
      <c r="B981" s="223"/>
      <c r="D981" s="105"/>
      <c r="E981" s="105"/>
      <c r="F981" s="105"/>
    </row>
    <row r="982" spans="1:6">
      <c r="A982"/>
      <c r="B982" s="223"/>
      <c r="D982" s="105"/>
      <c r="E982" s="105"/>
      <c r="F982" s="105"/>
    </row>
    <row r="983" spans="1:6">
      <c r="A983"/>
      <c r="B983" s="223"/>
      <c r="D983" s="105"/>
      <c r="E983" s="105"/>
      <c r="F983" s="105"/>
    </row>
    <row r="984" spans="1:6">
      <c r="A984"/>
      <c r="B984" s="223"/>
      <c r="D984" s="105"/>
      <c r="E984" s="105"/>
      <c r="F984" s="105"/>
    </row>
    <row r="985" spans="1:6">
      <c r="A985"/>
      <c r="B985" s="223"/>
      <c r="D985" s="105"/>
      <c r="E985" s="105"/>
      <c r="F985" s="105"/>
    </row>
    <row r="986" spans="1:6">
      <c r="A986"/>
      <c r="B986" s="223"/>
      <c r="D986" s="105"/>
      <c r="E986" s="105"/>
      <c r="F986" s="105"/>
    </row>
    <row r="987" spans="1:6">
      <c r="A987"/>
      <c r="B987" s="223"/>
      <c r="D987" s="105"/>
      <c r="E987" s="105"/>
      <c r="F987" s="105"/>
    </row>
    <row r="988" spans="1:6">
      <c r="A988"/>
      <c r="B988" s="223"/>
      <c r="D988" s="105"/>
      <c r="E988" s="105"/>
      <c r="F988" s="105"/>
    </row>
    <row r="989" spans="1:6">
      <c r="A989"/>
      <c r="B989" s="223"/>
      <c r="D989" s="105"/>
      <c r="E989" s="105"/>
      <c r="F989" s="105"/>
    </row>
    <row r="990" spans="1:6">
      <c r="A990"/>
      <c r="B990" s="223"/>
      <c r="D990" s="105"/>
      <c r="E990" s="105"/>
      <c r="F990" s="105"/>
    </row>
    <row r="991" spans="1:6">
      <c r="A991"/>
      <c r="B991" s="223"/>
      <c r="D991" s="105"/>
      <c r="E991" s="105"/>
      <c r="F991" s="105"/>
    </row>
    <row r="992" spans="1:6">
      <c r="A992"/>
      <c r="B992" s="223"/>
      <c r="D992" s="105"/>
      <c r="E992" s="105"/>
      <c r="F992" s="105"/>
    </row>
    <row r="993" spans="1:6">
      <c r="A993"/>
      <c r="B993" s="223"/>
      <c r="D993" s="105"/>
      <c r="E993" s="105"/>
      <c r="F993" s="105"/>
    </row>
    <row r="994" spans="1:6">
      <c r="A994"/>
      <c r="B994" s="223"/>
      <c r="D994" s="105"/>
      <c r="E994" s="105"/>
      <c r="F994" s="105"/>
    </row>
    <row r="995" spans="1:6">
      <c r="A995"/>
      <c r="B995" s="223"/>
      <c r="D995" s="105"/>
      <c r="E995" s="105"/>
      <c r="F995" s="105"/>
    </row>
    <row r="996" spans="1:6">
      <c r="A996"/>
      <c r="B996" s="223"/>
      <c r="D996" s="105"/>
      <c r="E996" s="105"/>
      <c r="F996" s="105"/>
    </row>
    <row r="997" spans="1:6">
      <c r="A997"/>
      <c r="B997" s="223"/>
      <c r="D997" s="105"/>
      <c r="E997" s="105"/>
      <c r="F997" s="105"/>
    </row>
    <row r="998" spans="1:6">
      <c r="A998"/>
      <c r="B998" s="223"/>
      <c r="D998" s="105"/>
      <c r="E998" s="105"/>
      <c r="F998" s="105"/>
    </row>
    <row r="999" spans="1:6">
      <c r="A999"/>
      <c r="B999" s="223"/>
      <c r="D999" s="105"/>
      <c r="E999" s="105"/>
      <c r="F999" s="105"/>
    </row>
    <row r="1000" spans="1:6">
      <c r="A1000"/>
      <c r="B1000" s="223"/>
      <c r="D1000" s="105"/>
      <c r="E1000" s="105"/>
      <c r="F1000" s="105"/>
    </row>
    <row r="1001" spans="1:6">
      <c r="A1001"/>
      <c r="B1001" s="223"/>
      <c r="D1001" s="105"/>
      <c r="E1001" s="105"/>
      <c r="F1001" s="105"/>
    </row>
    <row r="1002" spans="1:6">
      <c r="A1002"/>
      <c r="B1002" s="223"/>
      <c r="D1002" s="105"/>
      <c r="E1002" s="105"/>
      <c r="F1002" s="105"/>
    </row>
    <row r="1003" spans="1:6">
      <c r="A1003"/>
      <c r="B1003" s="223"/>
      <c r="D1003" s="105"/>
      <c r="E1003" s="105"/>
      <c r="F1003" s="105"/>
    </row>
    <row r="1004" spans="1:6">
      <c r="A1004"/>
      <c r="B1004" s="223"/>
      <c r="D1004" s="105"/>
      <c r="E1004" s="105"/>
      <c r="F1004" s="105"/>
    </row>
    <row r="1005" spans="1:6">
      <c r="A1005"/>
      <c r="B1005" s="223"/>
      <c r="D1005" s="105"/>
      <c r="E1005" s="105"/>
      <c r="F1005" s="105"/>
    </row>
    <row r="1006" spans="1:6">
      <c r="A1006"/>
      <c r="B1006" s="223"/>
      <c r="D1006" s="105"/>
      <c r="E1006" s="105"/>
      <c r="F1006" s="105"/>
    </row>
    <row r="1007" spans="1:6">
      <c r="A1007"/>
      <c r="B1007" s="223"/>
      <c r="D1007" s="105"/>
      <c r="E1007" s="105"/>
      <c r="F1007" s="105"/>
    </row>
    <row r="1008" spans="1:6">
      <c r="A1008"/>
      <c r="B1008" s="223"/>
      <c r="D1008" s="105"/>
      <c r="E1008" s="105"/>
      <c r="F1008" s="105"/>
    </row>
    <row r="1009" spans="1:6">
      <c r="A1009"/>
      <c r="B1009" s="223"/>
      <c r="D1009" s="105"/>
      <c r="E1009" s="105"/>
      <c r="F1009" s="105"/>
    </row>
    <row r="1010" spans="1:6">
      <c r="A1010"/>
      <c r="B1010" s="223"/>
      <c r="D1010" s="105"/>
      <c r="E1010" s="105"/>
      <c r="F1010" s="105"/>
    </row>
    <row r="1011" spans="1:6">
      <c r="A1011"/>
      <c r="B1011" s="223"/>
      <c r="D1011" s="105"/>
      <c r="E1011" s="105"/>
      <c r="F1011" s="105"/>
    </row>
    <row r="1012" spans="1:6">
      <c r="A1012"/>
      <c r="B1012" s="223"/>
      <c r="D1012" s="105"/>
      <c r="E1012" s="105"/>
      <c r="F1012" s="105"/>
    </row>
    <row r="1013" spans="1:6">
      <c r="A1013"/>
      <c r="B1013" s="223"/>
      <c r="D1013" s="105"/>
      <c r="E1013" s="105"/>
      <c r="F1013" s="105"/>
    </row>
    <row r="1014" spans="1:6">
      <c r="A1014"/>
      <c r="B1014" s="223"/>
      <c r="D1014" s="105"/>
      <c r="E1014" s="105"/>
      <c r="F1014" s="105"/>
    </row>
    <row r="1015" spans="1:6">
      <c r="A1015"/>
      <c r="B1015" s="223"/>
      <c r="D1015" s="105"/>
      <c r="E1015" s="105"/>
      <c r="F1015" s="105"/>
    </row>
    <row r="1016" spans="1:6">
      <c r="A1016"/>
      <c r="B1016" s="223"/>
      <c r="D1016" s="105"/>
      <c r="E1016" s="105"/>
      <c r="F1016" s="105"/>
    </row>
    <row r="1017" spans="1:6">
      <c r="A1017"/>
      <c r="B1017" s="223"/>
      <c r="D1017" s="105"/>
      <c r="E1017" s="105"/>
      <c r="F1017" s="105"/>
    </row>
    <row r="1018" spans="1:6">
      <c r="A1018"/>
      <c r="B1018" s="223"/>
      <c r="D1018" s="105"/>
      <c r="E1018" s="105"/>
      <c r="F1018" s="105"/>
    </row>
    <row r="1019" spans="1:6">
      <c r="A1019"/>
      <c r="B1019" s="223"/>
      <c r="D1019" s="105"/>
      <c r="E1019" s="105"/>
      <c r="F1019" s="105"/>
    </row>
    <row r="1020" spans="1:6">
      <c r="A1020"/>
      <c r="B1020" s="223"/>
      <c r="D1020" s="105"/>
      <c r="E1020" s="105"/>
      <c r="F1020" s="105"/>
    </row>
    <row r="1021" spans="1:6">
      <c r="A1021"/>
      <c r="B1021" s="223"/>
      <c r="D1021" s="105"/>
      <c r="E1021" s="105"/>
      <c r="F1021" s="105"/>
    </row>
    <row r="1022" spans="1:6">
      <c r="A1022"/>
      <c r="B1022" s="223"/>
      <c r="D1022" s="105"/>
      <c r="E1022" s="105"/>
      <c r="F1022" s="105"/>
    </row>
    <row r="1023" spans="1:6">
      <c r="A1023"/>
      <c r="B1023" s="223"/>
      <c r="D1023" s="105"/>
      <c r="E1023" s="105"/>
      <c r="F1023" s="105"/>
    </row>
    <row r="1024" spans="1:6">
      <c r="A1024"/>
      <c r="B1024" s="223"/>
      <c r="D1024" s="105"/>
      <c r="E1024" s="105"/>
      <c r="F1024" s="105"/>
    </row>
    <row r="1025" spans="1:6">
      <c r="A1025"/>
      <c r="B1025" s="223"/>
      <c r="D1025" s="105"/>
      <c r="E1025" s="105"/>
      <c r="F1025" s="105"/>
    </row>
    <row r="1026" spans="1:6">
      <c r="A1026"/>
      <c r="B1026" s="223"/>
      <c r="D1026" s="105"/>
      <c r="E1026" s="105"/>
      <c r="F1026" s="105"/>
    </row>
    <row r="1027" spans="1:6">
      <c r="A1027"/>
      <c r="B1027" s="223"/>
      <c r="D1027" s="105"/>
      <c r="E1027" s="105"/>
      <c r="F1027" s="105"/>
    </row>
    <row r="1028" spans="1:6">
      <c r="A1028"/>
      <c r="B1028" s="223"/>
      <c r="D1028" s="105"/>
      <c r="E1028" s="105"/>
      <c r="F1028" s="105"/>
    </row>
    <row r="1029" spans="1:6">
      <c r="A1029"/>
      <c r="B1029" s="223"/>
      <c r="D1029" s="105"/>
      <c r="E1029" s="105"/>
      <c r="F1029" s="105"/>
    </row>
    <row r="1030" spans="1:6">
      <c r="A1030"/>
      <c r="B1030" s="223"/>
      <c r="D1030" s="105"/>
      <c r="E1030" s="105"/>
      <c r="F1030" s="105"/>
    </row>
    <row r="1031" spans="1:6">
      <c r="A1031"/>
      <c r="B1031" s="223"/>
      <c r="D1031" s="105"/>
      <c r="E1031" s="105"/>
      <c r="F1031" s="105"/>
    </row>
    <row r="1032" spans="1:6">
      <c r="A1032"/>
      <c r="B1032" s="223"/>
      <c r="D1032" s="105"/>
      <c r="E1032" s="105"/>
      <c r="F1032" s="105"/>
    </row>
    <row r="1033" spans="1:6">
      <c r="A1033"/>
      <c r="B1033" s="223"/>
      <c r="D1033" s="105"/>
      <c r="E1033" s="105"/>
      <c r="F1033" s="105"/>
    </row>
    <row r="1034" spans="1:6">
      <c r="A1034"/>
      <c r="B1034" s="223"/>
      <c r="D1034" s="105"/>
      <c r="E1034" s="105"/>
      <c r="F1034" s="105"/>
    </row>
    <row r="1035" spans="1:6">
      <c r="A1035"/>
      <c r="B1035" s="223"/>
      <c r="D1035" s="105"/>
      <c r="E1035" s="105"/>
      <c r="F1035" s="105"/>
    </row>
    <row r="1036" spans="1:6">
      <c r="A1036"/>
      <c r="B1036" s="223"/>
      <c r="D1036" s="105"/>
      <c r="E1036" s="105"/>
      <c r="F1036" s="105"/>
    </row>
    <row r="1037" spans="1:6">
      <c r="A1037"/>
      <c r="B1037" s="223"/>
      <c r="D1037" s="105"/>
      <c r="E1037" s="105"/>
      <c r="F1037" s="105"/>
    </row>
    <row r="1038" spans="1:6">
      <c r="A1038"/>
      <c r="B1038" s="223"/>
      <c r="D1038" s="105"/>
      <c r="E1038" s="105"/>
      <c r="F1038" s="105"/>
    </row>
    <row r="1039" spans="1:6">
      <c r="A1039"/>
      <c r="B1039" s="223"/>
      <c r="D1039" s="105"/>
      <c r="E1039" s="105"/>
      <c r="F1039" s="105"/>
    </row>
    <row r="1040" spans="1:6">
      <c r="A1040"/>
      <c r="B1040" s="223"/>
      <c r="D1040" s="105"/>
      <c r="E1040" s="105"/>
      <c r="F1040" s="105"/>
    </row>
    <row r="1041" spans="1:6">
      <c r="A1041"/>
      <c r="B1041" s="223"/>
      <c r="D1041" s="105"/>
      <c r="E1041" s="105"/>
      <c r="F1041" s="105"/>
    </row>
    <row r="1042" spans="1:6">
      <c r="A1042"/>
      <c r="B1042" s="223"/>
      <c r="D1042" s="105"/>
      <c r="E1042" s="105"/>
      <c r="F1042" s="105"/>
    </row>
    <row r="1043" spans="1:6">
      <c r="A1043"/>
      <c r="B1043" s="223"/>
      <c r="D1043" s="105"/>
      <c r="E1043" s="105"/>
      <c r="F1043" s="105"/>
    </row>
    <row r="1044" spans="1:6">
      <c r="A1044"/>
      <c r="B1044" s="223"/>
      <c r="D1044" s="105"/>
      <c r="E1044" s="105"/>
      <c r="F1044" s="105"/>
    </row>
    <row r="1045" spans="1:6">
      <c r="A1045"/>
      <c r="B1045" s="223"/>
      <c r="D1045" s="105"/>
      <c r="E1045" s="105"/>
      <c r="F1045" s="105"/>
    </row>
    <row r="1046" spans="1:6">
      <c r="A1046"/>
      <c r="B1046" s="223"/>
      <c r="D1046" s="105"/>
      <c r="E1046" s="105"/>
      <c r="F1046" s="105"/>
    </row>
    <row r="1047" spans="1:6">
      <c r="A1047"/>
      <c r="B1047" s="223"/>
      <c r="D1047" s="105"/>
      <c r="E1047" s="105"/>
      <c r="F1047" s="105"/>
    </row>
    <row r="1048" spans="1:6">
      <c r="A1048"/>
      <c r="B1048" s="223"/>
      <c r="D1048" s="105"/>
      <c r="E1048" s="105"/>
      <c r="F1048" s="105"/>
    </row>
    <row r="1049" spans="1:6">
      <c r="A1049"/>
      <c r="B1049" s="223"/>
      <c r="D1049" s="105"/>
      <c r="E1049" s="105"/>
      <c r="F1049" s="105"/>
    </row>
    <row r="1050" spans="1:6">
      <c r="A1050"/>
      <c r="B1050" s="223"/>
      <c r="D1050" s="105"/>
      <c r="E1050" s="105"/>
      <c r="F1050" s="105"/>
    </row>
    <row r="1051" spans="1:6">
      <c r="A1051"/>
      <c r="B1051" s="223"/>
      <c r="D1051" s="105"/>
      <c r="E1051" s="105"/>
      <c r="F1051" s="105"/>
    </row>
    <row r="1052" spans="1:6">
      <c r="A1052"/>
      <c r="B1052" s="223"/>
      <c r="D1052" s="105"/>
      <c r="E1052" s="105"/>
      <c r="F1052" s="105"/>
    </row>
    <row r="1053" spans="1:6">
      <c r="A1053"/>
      <c r="B1053" s="223"/>
      <c r="D1053" s="105"/>
      <c r="E1053" s="105"/>
      <c r="F1053" s="105"/>
    </row>
    <row r="1054" spans="1:6">
      <c r="A1054"/>
      <c r="B1054" s="223"/>
      <c r="D1054" s="105"/>
      <c r="E1054" s="105"/>
      <c r="F1054" s="105"/>
    </row>
    <row r="1055" spans="1:6">
      <c r="A1055"/>
      <c r="B1055" s="223"/>
      <c r="D1055" s="105"/>
      <c r="E1055" s="105"/>
      <c r="F1055" s="105"/>
    </row>
    <row r="1056" spans="1:6">
      <c r="A1056"/>
      <c r="B1056" s="223"/>
      <c r="D1056" s="105"/>
      <c r="E1056" s="105"/>
      <c r="F1056" s="105"/>
    </row>
    <row r="1057" spans="1:6">
      <c r="A1057"/>
      <c r="B1057" s="223"/>
      <c r="D1057" s="105"/>
      <c r="E1057" s="105"/>
      <c r="F1057" s="105"/>
    </row>
    <row r="1058" spans="1:6">
      <c r="A1058"/>
      <c r="B1058" s="223"/>
      <c r="D1058" s="105"/>
      <c r="E1058" s="105"/>
      <c r="F1058" s="105"/>
    </row>
    <row r="1059" spans="1:6">
      <c r="A1059"/>
      <c r="B1059" s="223"/>
      <c r="D1059" s="105"/>
      <c r="E1059" s="105"/>
      <c r="F1059" s="105"/>
    </row>
    <row r="1060" spans="1:6">
      <c r="A1060"/>
      <c r="B1060" s="223"/>
      <c r="D1060" s="105"/>
      <c r="E1060" s="105"/>
      <c r="F1060" s="105"/>
    </row>
    <row r="1061" spans="1:6">
      <c r="A1061"/>
      <c r="B1061" s="223"/>
      <c r="D1061" s="105"/>
      <c r="E1061" s="105"/>
      <c r="F1061" s="105"/>
    </row>
    <row r="1062" spans="1:6">
      <c r="A1062"/>
      <c r="B1062" s="223"/>
      <c r="D1062" s="105"/>
      <c r="E1062" s="105"/>
      <c r="F1062" s="105"/>
    </row>
    <row r="1063" spans="1:6">
      <c r="A1063"/>
      <c r="B1063" s="223"/>
      <c r="D1063" s="105"/>
      <c r="E1063" s="105"/>
      <c r="F1063" s="105"/>
    </row>
    <row r="1064" spans="1:6">
      <c r="A1064"/>
      <c r="B1064" s="223"/>
      <c r="D1064" s="105"/>
      <c r="E1064" s="105"/>
      <c r="F1064" s="105"/>
    </row>
    <row r="1065" spans="1:6">
      <c r="A1065"/>
      <c r="B1065" s="223"/>
      <c r="D1065" s="105"/>
      <c r="E1065" s="105"/>
      <c r="F1065" s="105"/>
    </row>
    <row r="1066" spans="1:6">
      <c r="A1066"/>
      <c r="B1066" s="223"/>
      <c r="D1066" s="105"/>
      <c r="E1066" s="105"/>
      <c r="F1066" s="105"/>
    </row>
    <row r="1067" spans="1:6">
      <c r="A1067"/>
      <c r="B1067" s="223"/>
      <c r="D1067" s="105"/>
      <c r="E1067" s="105"/>
      <c r="F1067" s="105"/>
    </row>
    <row r="1068" spans="1:6">
      <c r="A1068"/>
      <c r="B1068" s="223"/>
      <c r="D1068" s="105"/>
      <c r="E1068" s="105"/>
      <c r="F1068" s="105"/>
    </row>
    <row r="1069" spans="1:6">
      <c r="A1069"/>
      <c r="B1069" s="223"/>
      <c r="D1069" s="105"/>
      <c r="E1069" s="105"/>
      <c r="F1069" s="105"/>
    </row>
    <row r="1070" spans="1:6">
      <c r="A1070"/>
      <c r="B1070" s="223"/>
      <c r="D1070" s="105"/>
      <c r="E1070" s="105"/>
      <c r="F1070" s="105"/>
    </row>
    <row r="1071" spans="1:6">
      <c r="A1071"/>
      <c r="B1071" s="223"/>
      <c r="D1071" s="105"/>
      <c r="E1071" s="105"/>
      <c r="F1071" s="105"/>
    </row>
    <row r="1072" spans="1:6">
      <c r="A1072"/>
      <c r="B1072" s="223"/>
      <c r="D1072" s="105"/>
      <c r="E1072" s="105"/>
      <c r="F1072" s="105"/>
    </row>
    <row r="1073" spans="1:6">
      <c r="A1073"/>
      <c r="B1073" s="223"/>
      <c r="D1073" s="105"/>
      <c r="E1073" s="105"/>
      <c r="F1073" s="105"/>
    </row>
    <row r="1074" spans="1:6">
      <c r="A1074"/>
      <c r="B1074" s="223"/>
      <c r="D1074" s="105"/>
      <c r="E1074" s="105"/>
      <c r="F1074" s="105"/>
    </row>
    <row r="1075" spans="1:6">
      <c r="A1075"/>
      <c r="B1075" s="223"/>
      <c r="D1075" s="105"/>
      <c r="E1075" s="105"/>
      <c r="F1075" s="105"/>
    </row>
    <row r="1076" spans="1:6">
      <c r="A1076"/>
      <c r="B1076" s="223"/>
      <c r="D1076" s="105"/>
      <c r="E1076" s="105"/>
      <c r="F1076" s="105"/>
    </row>
    <row r="1077" spans="1:6">
      <c r="A1077"/>
      <c r="B1077" s="223"/>
      <c r="D1077" s="105"/>
      <c r="E1077" s="105"/>
      <c r="F1077" s="105"/>
    </row>
    <row r="1078" spans="1:6">
      <c r="A1078"/>
      <c r="B1078" s="223"/>
      <c r="D1078" s="105"/>
      <c r="E1078" s="105"/>
      <c r="F1078" s="105"/>
    </row>
    <row r="1079" spans="1:6">
      <c r="A1079"/>
      <c r="B1079" s="223"/>
      <c r="D1079" s="105"/>
      <c r="E1079" s="105"/>
      <c r="F1079" s="105"/>
    </row>
    <row r="1080" spans="1:6">
      <c r="A1080"/>
      <c r="B1080" s="223"/>
      <c r="D1080" s="105"/>
      <c r="E1080" s="105"/>
      <c r="F1080" s="105"/>
    </row>
    <row r="1081" spans="1:6">
      <c r="A1081"/>
      <c r="B1081" s="223"/>
      <c r="D1081" s="105"/>
      <c r="E1081" s="105"/>
      <c r="F1081" s="105"/>
    </row>
    <row r="1082" spans="1:6">
      <c r="A1082"/>
      <c r="B1082" s="223"/>
      <c r="D1082" s="105"/>
      <c r="E1082" s="105"/>
      <c r="F1082" s="105"/>
    </row>
    <row r="1083" spans="1:6">
      <c r="A1083"/>
      <c r="B1083" s="223"/>
      <c r="D1083" s="105"/>
      <c r="E1083" s="105"/>
      <c r="F1083" s="105"/>
    </row>
    <row r="1084" spans="1:6">
      <c r="A1084"/>
      <c r="B1084" s="223"/>
      <c r="D1084" s="105"/>
      <c r="E1084" s="105"/>
      <c r="F1084" s="105"/>
    </row>
    <row r="1085" spans="1:6">
      <c r="A1085"/>
      <c r="B1085" s="223"/>
      <c r="D1085" s="105"/>
      <c r="E1085" s="105"/>
      <c r="F1085" s="105"/>
    </row>
    <row r="1086" spans="1:6">
      <c r="A1086"/>
      <c r="B1086" s="223"/>
      <c r="D1086" s="105"/>
      <c r="E1086" s="105"/>
      <c r="F1086" s="105"/>
    </row>
    <row r="1087" spans="1:6">
      <c r="A1087"/>
      <c r="B1087" s="223"/>
      <c r="D1087" s="105"/>
      <c r="E1087" s="105"/>
      <c r="F1087" s="105"/>
    </row>
    <row r="1088" spans="1:6">
      <c r="A1088"/>
      <c r="B1088" s="223"/>
      <c r="D1088" s="105"/>
      <c r="E1088" s="105"/>
      <c r="F1088" s="105"/>
    </row>
    <row r="1089" spans="1:6">
      <c r="A1089"/>
      <c r="B1089" s="223"/>
      <c r="D1089" s="105"/>
      <c r="E1089" s="105"/>
      <c r="F1089" s="105"/>
    </row>
    <row r="1090" spans="1:6">
      <c r="A1090"/>
      <c r="B1090" s="223"/>
      <c r="D1090" s="105"/>
      <c r="E1090" s="105"/>
      <c r="F1090" s="105"/>
    </row>
    <row r="1091" spans="1:6">
      <c r="A1091"/>
      <c r="B1091" s="223"/>
      <c r="D1091" s="105"/>
      <c r="E1091" s="105"/>
      <c r="F1091" s="105"/>
    </row>
    <row r="1092" spans="1:6">
      <c r="A1092"/>
      <c r="B1092" s="223"/>
      <c r="D1092" s="105"/>
      <c r="E1092" s="105"/>
      <c r="F1092" s="105"/>
    </row>
    <row r="1093" spans="1:6">
      <c r="A1093"/>
      <c r="B1093" s="223"/>
      <c r="D1093" s="105"/>
      <c r="E1093" s="105"/>
      <c r="F1093" s="105"/>
    </row>
    <row r="1094" spans="1:6">
      <c r="A1094"/>
      <c r="B1094" s="223"/>
      <c r="D1094" s="105"/>
      <c r="E1094" s="105"/>
      <c r="F1094" s="105"/>
    </row>
    <row r="1095" spans="1:6">
      <c r="A1095"/>
      <c r="B1095" s="223"/>
      <c r="D1095" s="105"/>
      <c r="E1095" s="105"/>
      <c r="F1095" s="105"/>
    </row>
    <row r="1096" spans="1:6">
      <c r="A1096"/>
      <c r="B1096" s="223"/>
      <c r="D1096" s="105"/>
      <c r="E1096" s="105"/>
      <c r="F1096" s="105"/>
    </row>
    <row r="1097" spans="1:6">
      <c r="A1097"/>
      <c r="B1097" s="223"/>
      <c r="D1097" s="105"/>
      <c r="E1097" s="105"/>
      <c r="F1097" s="105"/>
    </row>
    <row r="1098" spans="1:6">
      <c r="A1098"/>
      <c r="B1098" s="223"/>
      <c r="D1098" s="105"/>
      <c r="E1098" s="105"/>
      <c r="F1098" s="105"/>
    </row>
    <row r="1099" spans="1:6">
      <c r="A1099"/>
      <c r="B1099" s="223"/>
      <c r="D1099" s="105"/>
      <c r="E1099" s="105"/>
      <c r="F1099" s="105"/>
    </row>
    <row r="1100" spans="1:6">
      <c r="A1100"/>
      <c r="B1100" s="223"/>
      <c r="D1100" s="105"/>
      <c r="E1100" s="105"/>
      <c r="F1100" s="105"/>
    </row>
    <row r="1101" spans="1:6">
      <c r="A1101"/>
      <c r="B1101" s="223"/>
      <c r="D1101" s="105"/>
      <c r="E1101" s="105"/>
      <c r="F1101" s="105"/>
    </row>
    <row r="1102" spans="1:6">
      <c r="A1102"/>
      <c r="B1102" s="223"/>
      <c r="D1102" s="105"/>
      <c r="E1102" s="105"/>
      <c r="F1102" s="105"/>
    </row>
    <row r="1103" spans="1:6">
      <c r="A1103"/>
      <c r="B1103" s="223"/>
      <c r="D1103" s="105"/>
      <c r="E1103" s="105"/>
      <c r="F1103" s="105"/>
    </row>
    <row r="1104" spans="1:6">
      <c r="A1104"/>
      <c r="B1104" s="223"/>
      <c r="D1104" s="105"/>
      <c r="E1104" s="105"/>
      <c r="F1104" s="105"/>
    </row>
    <row r="1105" spans="1:6">
      <c r="A1105"/>
      <c r="B1105" s="223"/>
      <c r="D1105" s="105"/>
      <c r="E1105" s="105"/>
      <c r="F1105" s="105"/>
    </row>
    <row r="1106" spans="1:6">
      <c r="A1106"/>
      <c r="B1106" s="223"/>
      <c r="D1106" s="105"/>
      <c r="E1106" s="105"/>
      <c r="F1106" s="105"/>
    </row>
    <row r="1107" spans="1:6">
      <c r="A1107"/>
      <c r="B1107" s="223"/>
      <c r="D1107" s="105"/>
      <c r="E1107" s="105"/>
      <c r="F1107" s="105"/>
    </row>
    <row r="1108" spans="1:6">
      <c r="A1108"/>
      <c r="B1108" s="223"/>
      <c r="D1108" s="105"/>
      <c r="E1108" s="105"/>
      <c r="F1108" s="105"/>
    </row>
    <row r="1109" spans="1:6">
      <c r="A1109"/>
      <c r="B1109" s="223"/>
      <c r="D1109" s="105"/>
      <c r="E1109" s="105"/>
      <c r="F1109" s="105"/>
    </row>
    <row r="1110" spans="1:6">
      <c r="A1110"/>
      <c r="B1110" s="223"/>
      <c r="D1110" s="105"/>
      <c r="E1110" s="105"/>
      <c r="F1110" s="105"/>
    </row>
    <row r="1111" spans="1:6">
      <c r="A1111"/>
      <c r="B1111" s="223"/>
      <c r="D1111" s="105"/>
      <c r="E1111" s="105"/>
      <c r="F1111" s="105"/>
    </row>
    <row r="1112" spans="1:6">
      <c r="A1112"/>
      <c r="B1112" s="223"/>
      <c r="D1112" s="105"/>
      <c r="E1112" s="105"/>
      <c r="F1112" s="105"/>
    </row>
    <row r="1113" spans="1:6">
      <c r="A1113"/>
      <c r="B1113" s="223"/>
      <c r="D1113" s="105"/>
      <c r="E1113" s="105"/>
      <c r="F1113" s="105"/>
    </row>
    <row r="1114" spans="1:6">
      <c r="A1114"/>
      <c r="B1114" s="223"/>
      <c r="D1114" s="105"/>
      <c r="E1114" s="105"/>
      <c r="F1114" s="105"/>
    </row>
    <row r="1115" spans="1:6">
      <c r="A1115"/>
      <c r="B1115" s="223"/>
      <c r="D1115" s="105"/>
      <c r="E1115" s="105"/>
      <c r="F1115" s="105"/>
    </row>
    <row r="1116" spans="1:6">
      <c r="A1116"/>
      <c r="B1116" s="223"/>
      <c r="D1116" s="105"/>
      <c r="E1116" s="105"/>
      <c r="F1116" s="105"/>
    </row>
    <row r="1117" spans="1:6">
      <c r="A1117"/>
      <c r="B1117" s="223"/>
      <c r="D1117" s="105"/>
      <c r="E1117" s="105"/>
      <c r="F1117" s="105"/>
    </row>
    <row r="1118" spans="1:6">
      <c r="A1118"/>
      <c r="B1118" s="223"/>
      <c r="D1118" s="105"/>
      <c r="E1118" s="105"/>
      <c r="F1118" s="105"/>
    </row>
    <row r="1119" spans="1:6">
      <c r="A1119"/>
      <c r="B1119" s="223"/>
      <c r="D1119" s="105"/>
      <c r="E1119" s="105"/>
      <c r="F1119" s="105"/>
    </row>
    <row r="1120" spans="1:6">
      <c r="A1120"/>
      <c r="B1120" s="223"/>
      <c r="D1120" s="105"/>
      <c r="E1120" s="105"/>
      <c r="F1120" s="105"/>
    </row>
    <row r="1121" spans="1:6">
      <c r="A1121"/>
      <c r="B1121" s="223"/>
      <c r="D1121" s="105"/>
      <c r="E1121" s="105"/>
      <c r="F1121" s="105"/>
    </row>
    <row r="1122" spans="1:6">
      <c r="A1122"/>
      <c r="B1122" s="223"/>
      <c r="D1122" s="105"/>
      <c r="E1122" s="105"/>
      <c r="F1122" s="105"/>
    </row>
    <row r="1123" spans="1:6">
      <c r="A1123"/>
      <c r="B1123" s="223"/>
      <c r="D1123" s="105"/>
      <c r="E1123" s="105"/>
      <c r="F1123" s="105"/>
    </row>
    <row r="1124" spans="1:6">
      <c r="A1124"/>
      <c r="B1124" s="223"/>
      <c r="D1124" s="105"/>
      <c r="E1124" s="105"/>
      <c r="F1124" s="105"/>
    </row>
    <row r="1125" spans="1:6">
      <c r="A1125"/>
      <c r="B1125" s="223"/>
      <c r="D1125" s="105"/>
      <c r="E1125" s="105"/>
      <c r="F1125" s="105"/>
    </row>
    <row r="1126" spans="1:6">
      <c r="A1126"/>
      <c r="B1126" s="223"/>
      <c r="D1126" s="105"/>
      <c r="E1126" s="105"/>
      <c r="F1126" s="105"/>
    </row>
    <row r="1127" spans="1:6">
      <c r="A1127"/>
      <c r="B1127" s="223"/>
      <c r="D1127" s="105"/>
      <c r="E1127" s="105"/>
      <c r="F1127" s="105"/>
    </row>
    <row r="1128" spans="1:6">
      <c r="A1128"/>
      <c r="B1128" s="223"/>
      <c r="D1128" s="105"/>
      <c r="E1128" s="105"/>
      <c r="F1128" s="105"/>
    </row>
    <row r="1129" spans="1:6">
      <c r="A1129"/>
      <c r="B1129" s="223"/>
      <c r="D1129" s="105"/>
      <c r="E1129" s="105"/>
      <c r="F1129" s="105"/>
    </row>
    <row r="1130" spans="1:6">
      <c r="A1130"/>
      <c r="B1130" s="223"/>
      <c r="D1130" s="105"/>
      <c r="E1130" s="105"/>
      <c r="F1130" s="105"/>
    </row>
    <row r="1131" spans="1:6">
      <c r="A1131"/>
      <c r="B1131" s="223"/>
      <c r="D1131" s="105"/>
      <c r="E1131" s="105"/>
      <c r="F1131" s="105"/>
    </row>
    <row r="1132" spans="1:6">
      <c r="A1132"/>
      <c r="B1132" s="223"/>
      <c r="D1132" s="105"/>
      <c r="E1132" s="105"/>
      <c r="F1132" s="105"/>
    </row>
    <row r="1133" spans="1:6">
      <c r="A1133"/>
      <c r="B1133" s="223"/>
      <c r="D1133" s="105"/>
      <c r="E1133" s="105"/>
      <c r="F1133" s="105"/>
    </row>
    <row r="1134" spans="1:6">
      <c r="A1134"/>
      <c r="B1134" s="223"/>
      <c r="D1134" s="105"/>
      <c r="E1134" s="105"/>
      <c r="F1134" s="105"/>
    </row>
    <row r="1135" spans="1:6">
      <c r="A1135"/>
      <c r="B1135" s="223"/>
      <c r="D1135" s="105"/>
      <c r="E1135" s="105"/>
      <c r="F1135" s="105"/>
    </row>
    <row r="1136" spans="1:6">
      <c r="A1136"/>
      <c r="B1136" s="223"/>
      <c r="D1136" s="105"/>
      <c r="E1136" s="105"/>
      <c r="F1136" s="105"/>
    </row>
    <row r="1137" spans="1:6">
      <c r="A1137"/>
      <c r="B1137" s="223"/>
      <c r="D1137" s="105"/>
      <c r="E1137" s="105"/>
      <c r="F1137" s="105"/>
    </row>
    <row r="1138" spans="1:6">
      <c r="A1138"/>
      <c r="B1138" s="223"/>
      <c r="D1138" s="105"/>
      <c r="E1138" s="105"/>
      <c r="F1138" s="105"/>
    </row>
    <row r="1139" spans="1:6">
      <c r="A1139"/>
      <c r="B1139" s="223"/>
      <c r="D1139" s="105"/>
      <c r="E1139" s="105"/>
      <c r="F1139" s="105"/>
    </row>
    <row r="1140" spans="1:6">
      <c r="A1140"/>
      <c r="B1140" s="223"/>
      <c r="D1140" s="105"/>
      <c r="E1140" s="105"/>
      <c r="F1140" s="105"/>
    </row>
    <row r="1141" spans="1:6">
      <c r="A1141"/>
      <c r="B1141" s="223"/>
      <c r="D1141" s="105"/>
      <c r="E1141" s="105"/>
      <c r="F1141" s="105"/>
    </row>
    <row r="1142" spans="1:6">
      <c r="A1142"/>
      <c r="B1142" s="223"/>
      <c r="D1142" s="105"/>
      <c r="E1142" s="105"/>
      <c r="F1142" s="105"/>
    </row>
    <row r="1143" spans="1:6">
      <c r="A1143"/>
      <c r="B1143" s="223"/>
      <c r="D1143" s="105"/>
      <c r="E1143" s="105"/>
      <c r="F1143" s="105"/>
    </row>
    <row r="1144" spans="1:6">
      <c r="A1144"/>
      <c r="B1144" s="223"/>
      <c r="D1144" s="105"/>
      <c r="E1144" s="105"/>
      <c r="F1144" s="105"/>
    </row>
    <row r="1145" spans="1:6">
      <c r="A1145"/>
      <c r="B1145" s="223"/>
      <c r="D1145" s="105"/>
      <c r="E1145" s="105"/>
      <c r="F1145" s="105"/>
    </row>
    <row r="1146" spans="1:6">
      <c r="A1146"/>
      <c r="B1146" s="223"/>
      <c r="D1146" s="105"/>
      <c r="E1146" s="105"/>
      <c r="F1146" s="105"/>
    </row>
    <row r="1147" spans="1:6">
      <c r="A1147"/>
      <c r="B1147" s="223"/>
      <c r="D1147" s="105"/>
      <c r="E1147" s="105"/>
      <c r="F1147" s="105"/>
    </row>
    <row r="1148" spans="1:6">
      <c r="A1148"/>
      <c r="B1148" s="223"/>
      <c r="D1148" s="105"/>
      <c r="E1148" s="105"/>
      <c r="F1148" s="105"/>
    </row>
    <row r="1149" spans="1:6">
      <c r="A1149"/>
      <c r="B1149" s="223"/>
      <c r="D1149" s="105"/>
      <c r="E1149" s="105"/>
      <c r="F1149" s="105"/>
    </row>
    <row r="1150" spans="1:6">
      <c r="A1150"/>
      <c r="B1150" s="223"/>
      <c r="D1150" s="105"/>
      <c r="E1150" s="105"/>
      <c r="F1150" s="105"/>
    </row>
    <row r="1151" spans="1:6">
      <c r="A1151"/>
      <c r="B1151" s="223"/>
      <c r="D1151" s="105"/>
      <c r="E1151" s="105"/>
      <c r="F1151" s="105"/>
    </row>
    <row r="1152" spans="1:6">
      <c r="A1152"/>
      <c r="B1152" s="223"/>
      <c r="D1152" s="105"/>
      <c r="E1152" s="105"/>
      <c r="F1152" s="105"/>
    </row>
    <row r="1153" spans="1:6">
      <c r="A1153"/>
      <c r="B1153" s="223"/>
      <c r="D1153" s="105"/>
      <c r="E1153" s="105"/>
      <c r="F1153" s="105"/>
    </row>
    <row r="1154" spans="1:6">
      <c r="A1154"/>
      <c r="B1154" s="223"/>
      <c r="D1154" s="105"/>
      <c r="E1154" s="105"/>
      <c r="F1154" s="105"/>
    </row>
    <row r="1155" spans="1:6">
      <c r="A1155"/>
      <c r="B1155" s="223"/>
      <c r="D1155" s="105"/>
      <c r="E1155" s="105"/>
      <c r="F1155" s="105"/>
    </row>
    <row r="1156" spans="1:6">
      <c r="A1156"/>
      <c r="B1156" s="223"/>
      <c r="D1156" s="105"/>
      <c r="E1156" s="105"/>
      <c r="F1156" s="105"/>
    </row>
    <row r="1157" spans="1:6">
      <c r="A1157"/>
      <c r="B1157" s="223"/>
      <c r="D1157" s="105"/>
      <c r="E1157" s="105"/>
      <c r="F1157" s="105"/>
    </row>
    <row r="1158" spans="1:6">
      <c r="A1158"/>
      <c r="B1158" s="223"/>
      <c r="D1158" s="105"/>
      <c r="E1158" s="105"/>
      <c r="F1158" s="105"/>
    </row>
    <row r="1159" spans="1:6">
      <c r="A1159"/>
      <c r="B1159" s="223"/>
      <c r="D1159" s="105"/>
      <c r="E1159" s="105"/>
      <c r="F1159" s="105"/>
    </row>
    <row r="1160" spans="1:6">
      <c r="A1160"/>
      <c r="B1160" s="223"/>
      <c r="D1160" s="105"/>
      <c r="E1160" s="105"/>
      <c r="F1160" s="105"/>
    </row>
    <row r="1161" spans="1:6">
      <c r="A1161"/>
      <c r="B1161" s="223"/>
      <c r="D1161" s="105"/>
      <c r="E1161" s="105"/>
      <c r="F1161" s="105"/>
    </row>
    <row r="1162" spans="1:6">
      <c r="A1162"/>
      <c r="B1162" s="223"/>
      <c r="D1162" s="105"/>
      <c r="E1162" s="105"/>
      <c r="F1162" s="105"/>
    </row>
    <row r="1163" spans="1:6">
      <c r="A1163"/>
      <c r="B1163" s="223"/>
      <c r="D1163" s="105"/>
      <c r="E1163" s="105"/>
      <c r="F1163" s="105"/>
    </row>
    <row r="1164" spans="1:6">
      <c r="A1164"/>
      <c r="B1164" s="223"/>
      <c r="D1164" s="105"/>
      <c r="E1164" s="105"/>
      <c r="F1164" s="105"/>
    </row>
    <row r="1165" spans="1:6">
      <c r="A1165"/>
      <c r="B1165" s="223"/>
      <c r="D1165" s="105"/>
      <c r="E1165" s="105"/>
      <c r="F1165" s="105"/>
    </row>
    <row r="1166" spans="1:6">
      <c r="A1166"/>
      <c r="B1166" s="223"/>
      <c r="D1166" s="105"/>
      <c r="E1166" s="105"/>
      <c r="F1166" s="105"/>
    </row>
    <row r="1167" spans="1:6">
      <c r="A1167"/>
      <c r="B1167" s="223"/>
      <c r="D1167" s="105"/>
      <c r="E1167" s="105"/>
      <c r="F1167" s="105"/>
    </row>
    <row r="1168" spans="1:6">
      <c r="A1168"/>
      <c r="B1168" s="223"/>
      <c r="D1168" s="105"/>
      <c r="E1168" s="105"/>
      <c r="F1168" s="105"/>
    </row>
    <row r="1169" spans="1:6">
      <c r="A1169"/>
      <c r="B1169" s="223"/>
      <c r="D1169" s="105"/>
      <c r="E1169" s="105"/>
      <c r="F1169" s="105"/>
    </row>
    <row r="1170" spans="1:6">
      <c r="A1170"/>
      <c r="B1170" s="223"/>
      <c r="D1170" s="105"/>
      <c r="E1170" s="105"/>
      <c r="F1170" s="105"/>
    </row>
    <row r="1171" spans="1:6">
      <c r="A1171"/>
      <c r="B1171" s="223"/>
      <c r="D1171" s="105"/>
      <c r="E1171" s="105"/>
      <c r="F1171" s="105"/>
    </row>
    <row r="1172" spans="1:6">
      <c r="A1172"/>
      <c r="B1172" s="223"/>
      <c r="D1172" s="105"/>
      <c r="E1172" s="105"/>
      <c r="F1172" s="105"/>
    </row>
    <row r="1173" spans="1:6">
      <c r="A1173"/>
      <c r="B1173" s="223"/>
      <c r="D1173" s="105"/>
      <c r="E1173" s="105"/>
      <c r="F1173" s="105"/>
    </row>
    <row r="1174" spans="1:6">
      <c r="A1174"/>
      <c r="B1174" s="223"/>
      <c r="D1174" s="105"/>
      <c r="E1174" s="105"/>
      <c r="F1174" s="105"/>
    </row>
    <row r="1175" spans="1:6">
      <c r="A1175"/>
      <c r="B1175" s="223"/>
      <c r="D1175" s="105"/>
      <c r="E1175" s="105"/>
      <c r="F1175" s="105"/>
    </row>
    <row r="1176" spans="1:6">
      <c r="A1176"/>
      <c r="B1176" s="223"/>
      <c r="D1176" s="105"/>
      <c r="E1176" s="105"/>
      <c r="F1176" s="105"/>
    </row>
    <row r="1177" spans="1:6">
      <c r="A1177"/>
      <c r="B1177" s="223"/>
      <c r="D1177" s="105"/>
      <c r="E1177" s="105"/>
      <c r="F1177" s="105"/>
    </row>
    <row r="1178" spans="1:6">
      <c r="A1178"/>
      <c r="B1178" s="223"/>
      <c r="D1178" s="105"/>
      <c r="E1178" s="105"/>
      <c r="F1178" s="105"/>
    </row>
    <row r="1179" spans="1:6">
      <c r="A1179"/>
      <c r="B1179" s="223"/>
      <c r="D1179" s="105"/>
      <c r="E1179" s="105"/>
      <c r="F1179" s="105"/>
    </row>
    <row r="1180" spans="1:6">
      <c r="A1180"/>
      <c r="B1180" s="223"/>
      <c r="D1180" s="105"/>
      <c r="E1180" s="105"/>
      <c r="F1180" s="105"/>
    </row>
    <row r="1181" spans="1:6">
      <c r="A1181"/>
      <c r="B1181" s="223"/>
      <c r="D1181" s="105"/>
      <c r="E1181" s="105"/>
      <c r="F1181" s="105"/>
    </row>
    <row r="1182" spans="1:6">
      <c r="A1182"/>
      <c r="B1182" s="223"/>
      <c r="D1182" s="105"/>
      <c r="E1182" s="105"/>
      <c r="F1182" s="105"/>
    </row>
    <row r="1183" spans="1:6">
      <c r="A1183"/>
      <c r="B1183" s="223"/>
      <c r="D1183" s="105"/>
      <c r="E1183" s="105"/>
      <c r="F1183" s="105"/>
    </row>
    <row r="1184" spans="1:6">
      <c r="A1184"/>
      <c r="B1184" s="223"/>
      <c r="D1184" s="105"/>
      <c r="E1184" s="105"/>
      <c r="F1184" s="105"/>
    </row>
    <row r="1185" spans="1:6">
      <c r="A1185"/>
      <c r="B1185" s="223"/>
      <c r="D1185" s="105"/>
      <c r="E1185" s="105"/>
      <c r="F1185" s="105"/>
    </row>
    <row r="1186" spans="1:6">
      <c r="A1186"/>
      <c r="B1186" s="223"/>
      <c r="D1186" s="105"/>
      <c r="E1186" s="105"/>
      <c r="F1186" s="105"/>
    </row>
    <row r="1187" spans="1:6">
      <c r="A1187"/>
      <c r="B1187" s="223"/>
      <c r="D1187" s="105"/>
      <c r="E1187" s="105"/>
      <c r="F1187" s="105"/>
    </row>
    <row r="1188" spans="1:6">
      <c r="A1188"/>
      <c r="B1188" s="223"/>
      <c r="D1188" s="105"/>
      <c r="E1188" s="105"/>
      <c r="F1188" s="105"/>
    </row>
    <row r="1189" spans="1:6">
      <c r="A1189"/>
      <c r="B1189" s="223"/>
      <c r="D1189" s="105"/>
      <c r="E1189" s="105"/>
      <c r="F1189" s="105"/>
    </row>
    <row r="1190" spans="1:6">
      <c r="A1190"/>
      <c r="B1190" s="223"/>
      <c r="D1190" s="105"/>
      <c r="E1190" s="105"/>
      <c r="F1190" s="105"/>
    </row>
    <row r="1191" spans="1:6">
      <c r="A1191"/>
      <c r="B1191" s="223"/>
      <c r="D1191" s="105"/>
      <c r="E1191" s="105"/>
      <c r="F1191" s="105"/>
    </row>
    <row r="1192" spans="1:6">
      <c r="A1192"/>
      <c r="B1192" s="223"/>
      <c r="D1192" s="105"/>
      <c r="E1192" s="105"/>
      <c r="F1192" s="105"/>
    </row>
    <row r="1193" spans="1:6">
      <c r="A1193"/>
      <c r="B1193" s="223"/>
      <c r="D1193" s="105"/>
      <c r="E1193" s="105"/>
      <c r="F1193" s="105"/>
    </row>
    <row r="1194" spans="1:6">
      <c r="A1194"/>
      <c r="B1194" s="223"/>
      <c r="D1194" s="105"/>
      <c r="E1194" s="105"/>
      <c r="F1194" s="105"/>
    </row>
    <row r="1195" spans="1:6">
      <c r="A1195"/>
      <c r="B1195" s="223"/>
      <c r="D1195" s="105"/>
      <c r="E1195" s="105"/>
      <c r="F1195" s="105"/>
    </row>
    <row r="1196" spans="1:6">
      <c r="A1196"/>
      <c r="B1196" s="223"/>
      <c r="D1196" s="105"/>
      <c r="E1196" s="105"/>
      <c r="F1196" s="105"/>
    </row>
    <row r="1197" spans="1:6">
      <c r="A1197"/>
      <c r="B1197" s="223"/>
      <c r="D1197" s="105"/>
      <c r="E1197" s="105"/>
      <c r="F1197" s="105"/>
    </row>
    <row r="1198" spans="1:6">
      <c r="A1198"/>
      <c r="B1198" s="223"/>
      <c r="D1198" s="105"/>
      <c r="E1198" s="105"/>
      <c r="F1198" s="105"/>
    </row>
    <row r="1199" spans="1:6">
      <c r="A1199"/>
      <c r="B1199" s="223"/>
      <c r="D1199" s="105"/>
      <c r="E1199" s="105"/>
      <c r="F1199" s="105"/>
    </row>
    <row r="1200" spans="1:6">
      <c r="A1200"/>
      <c r="B1200" s="223"/>
      <c r="D1200" s="105"/>
      <c r="E1200" s="105"/>
      <c r="F1200" s="105"/>
    </row>
    <row r="1201" spans="1:6">
      <c r="A1201"/>
      <c r="B1201" s="223"/>
      <c r="D1201" s="105"/>
      <c r="E1201" s="105"/>
      <c r="F1201" s="105"/>
    </row>
    <row r="1202" spans="1:6">
      <c r="A1202"/>
      <c r="B1202" s="223"/>
      <c r="D1202" s="105"/>
      <c r="E1202" s="105"/>
      <c r="F1202" s="105"/>
    </row>
    <row r="1203" spans="1:6">
      <c r="A1203"/>
      <c r="B1203" s="223"/>
      <c r="D1203" s="105"/>
      <c r="E1203" s="105"/>
      <c r="F1203" s="105"/>
    </row>
    <row r="1204" spans="1:6">
      <c r="A1204"/>
      <c r="B1204" s="223"/>
      <c r="D1204" s="105"/>
      <c r="E1204" s="105"/>
      <c r="F1204" s="105"/>
    </row>
    <row r="1205" spans="1:6">
      <c r="A1205"/>
      <c r="B1205" s="223"/>
      <c r="D1205" s="105"/>
      <c r="E1205" s="105"/>
      <c r="F1205" s="105"/>
    </row>
    <row r="1206" spans="1:6">
      <c r="A1206"/>
      <c r="B1206" s="223"/>
      <c r="D1206" s="105"/>
      <c r="E1206" s="105"/>
      <c r="F1206" s="105"/>
    </row>
    <row r="1207" spans="1:6">
      <c r="A1207"/>
      <c r="B1207" s="223"/>
      <c r="D1207" s="105"/>
      <c r="E1207" s="105"/>
      <c r="F1207" s="105"/>
    </row>
    <row r="1208" spans="1:6">
      <c r="A1208"/>
      <c r="B1208" s="223"/>
      <c r="D1208" s="105"/>
      <c r="E1208" s="105"/>
      <c r="F1208" s="105"/>
    </row>
    <row r="1209" spans="1:6">
      <c r="A1209"/>
      <c r="B1209" s="223"/>
      <c r="D1209" s="105"/>
      <c r="E1209" s="105"/>
      <c r="F1209" s="105"/>
    </row>
    <row r="1210" spans="1:6">
      <c r="A1210"/>
      <c r="B1210" s="223"/>
      <c r="D1210" s="105"/>
      <c r="E1210" s="105"/>
      <c r="F1210" s="105"/>
    </row>
    <row r="1211" spans="1:6">
      <c r="A1211"/>
      <c r="B1211" s="223"/>
      <c r="D1211" s="105"/>
      <c r="E1211" s="105"/>
      <c r="F1211" s="105"/>
    </row>
    <row r="1212" spans="1:6">
      <c r="A1212"/>
      <c r="B1212" s="223"/>
      <c r="D1212" s="105"/>
      <c r="E1212" s="105"/>
      <c r="F1212" s="105"/>
    </row>
    <row r="1213" spans="1:6">
      <c r="A1213"/>
      <c r="B1213" s="223"/>
      <c r="D1213" s="105"/>
      <c r="E1213" s="105"/>
      <c r="F1213" s="105"/>
    </row>
    <row r="1214" spans="1:6">
      <c r="A1214"/>
      <c r="B1214" s="223"/>
      <c r="D1214" s="105"/>
      <c r="E1214" s="105"/>
      <c r="F1214" s="105"/>
    </row>
    <row r="1215" spans="1:6">
      <c r="A1215"/>
      <c r="B1215" s="223"/>
      <c r="D1215" s="105"/>
      <c r="E1215" s="105"/>
      <c r="F1215" s="105"/>
    </row>
    <row r="1216" spans="1:6">
      <c r="A1216"/>
      <c r="B1216" s="223"/>
      <c r="D1216" s="105"/>
      <c r="E1216" s="105"/>
      <c r="F1216" s="105"/>
    </row>
    <row r="1217" spans="1:6">
      <c r="A1217"/>
      <c r="B1217" s="223"/>
      <c r="D1217" s="105"/>
      <c r="E1217" s="105"/>
      <c r="F1217" s="105"/>
    </row>
    <row r="1218" spans="1:6">
      <c r="A1218"/>
      <c r="B1218" s="223"/>
      <c r="D1218" s="105"/>
      <c r="E1218" s="105"/>
      <c r="F1218" s="105"/>
    </row>
    <row r="1219" spans="1:6">
      <c r="A1219"/>
      <c r="B1219" s="223"/>
      <c r="D1219" s="105"/>
      <c r="E1219" s="105"/>
      <c r="F1219" s="105"/>
    </row>
    <row r="1220" spans="1:6">
      <c r="A1220"/>
      <c r="B1220" s="223"/>
      <c r="D1220" s="105"/>
      <c r="E1220" s="105"/>
      <c r="F1220" s="105"/>
    </row>
    <row r="1221" spans="1:6">
      <c r="A1221"/>
      <c r="B1221" s="223"/>
      <c r="D1221" s="105"/>
      <c r="E1221" s="105"/>
      <c r="F1221" s="105"/>
    </row>
    <row r="1222" spans="1:6">
      <c r="A1222"/>
      <c r="B1222" s="223"/>
      <c r="D1222" s="105"/>
      <c r="E1222" s="105"/>
      <c r="F1222" s="105"/>
    </row>
    <row r="1223" spans="1:6">
      <c r="A1223"/>
      <c r="B1223" s="223"/>
      <c r="D1223" s="105"/>
      <c r="E1223" s="105"/>
      <c r="F1223" s="105"/>
    </row>
    <row r="1224" spans="1:6">
      <c r="A1224"/>
      <c r="B1224" s="223"/>
      <c r="D1224" s="105"/>
      <c r="E1224" s="105"/>
      <c r="F1224" s="105"/>
    </row>
    <row r="1225" spans="1:6">
      <c r="A1225"/>
      <c r="B1225" s="223"/>
      <c r="D1225" s="105"/>
      <c r="E1225" s="105"/>
      <c r="F1225" s="105"/>
    </row>
    <row r="1226" spans="1:6">
      <c r="A1226"/>
      <c r="B1226" s="223"/>
      <c r="D1226" s="105"/>
      <c r="E1226" s="105"/>
      <c r="F1226" s="105"/>
    </row>
    <row r="1227" spans="1:6">
      <c r="A1227"/>
      <c r="B1227" s="223"/>
      <c r="D1227" s="105"/>
      <c r="E1227" s="105"/>
      <c r="F1227" s="105"/>
    </row>
    <row r="1228" spans="1:6">
      <c r="A1228"/>
      <c r="B1228" s="223"/>
      <c r="D1228" s="105"/>
      <c r="E1228" s="105"/>
      <c r="F1228" s="105"/>
    </row>
    <row r="1229" spans="1:6">
      <c r="A1229"/>
      <c r="B1229" s="223"/>
      <c r="D1229" s="105"/>
      <c r="E1229" s="105"/>
      <c r="F1229" s="105"/>
    </row>
    <row r="1230" spans="1:6">
      <c r="A1230"/>
      <c r="B1230" s="223"/>
      <c r="D1230" s="105"/>
      <c r="E1230" s="105"/>
      <c r="F1230" s="105"/>
    </row>
    <row r="1231" spans="1:6">
      <c r="A1231"/>
      <c r="B1231" s="223"/>
      <c r="D1231" s="105"/>
      <c r="E1231" s="105"/>
      <c r="F1231" s="105"/>
    </row>
    <row r="1232" spans="1:6">
      <c r="A1232"/>
      <c r="B1232" s="223"/>
      <c r="D1232" s="105"/>
      <c r="E1232" s="105"/>
      <c r="F1232" s="105"/>
    </row>
    <row r="1233" spans="1:6">
      <c r="A1233"/>
      <c r="B1233" s="223"/>
      <c r="D1233" s="105"/>
      <c r="E1233" s="105"/>
      <c r="F1233" s="105"/>
    </row>
    <row r="1234" spans="1:6">
      <c r="A1234"/>
      <c r="B1234" s="223"/>
      <c r="D1234" s="105"/>
      <c r="E1234" s="105"/>
      <c r="F1234" s="105"/>
    </row>
    <row r="1235" spans="1:6">
      <c r="A1235"/>
      <c r="B1235" s="223"/>
      <c r="D1235" s="105"/>
      <c r="E1235" s="105"/>
      <c r="F1235" s="105"/>
    </row>
    <row r="1236" spans="1:6">
      <c r="A1236"/>
      <c r="B1236" s="223"/>
      <c r="D1236" s="105"/>
      <c r="E1236" s="105"/>
      <c r="F1236" s="105"/>
    </row>
    <row r="1237" spans="1:6">
      <c r="A1237"/>
      <c r="B1237" s="223"/>
      <c r="D1237" s="105"/>
      <c r="E1237" s="105"/>
      <c r="F1237" s="105"/>
    </row>
    <row r="1238" spans="1:6">
      <c r="A1238"/>
      <c r="B1238" s="223"/>
      <c r="D1238" s="105"/>
      <c r="E1238" s="105"/>
      <c r="F1238" s="105"/>
    </row>
    <row r="1239" spans="1:6">
      <c r="A1239"/>
      <c r="B1239" s="223"/>
      <c r="D1239" s="105"/>
      <c r="E1239" s="105"/>
      <c r="F1239" s="105"/>
    </row>
    <row r="1240" spans="1:6">
      <c r="A1240"/>
      <c r="B1240" s="223"/>
      <c r="D1240" s="105"/>
      <c r="E1240" s="105"/>
      <c r="F1240" s="105"/>
    </row>
    <row r="1241" spans="1:6">
      <c r="A1241"/>
      <c r="B1241" s="223"/>
      <c r="D1241" s="105"/>
      <c r="E1241" s="105"/>
      <c r="F1241" s="105"/>
    </row>
    <row r="1242" spans="1:6">
      <c r="A1242"/>
      <c r="B1242" s="223"/>
      <c r="D1242" s="105"/>
      <c r="E1242" s="105"/>
      <c r="F1242" s="105"/>
    </row>
    <row r="1243" spans="1:6">
      <c r="A1243"/>
      <c r="B1243" s="223"/>
      <c r="D1243" s="105"/>
      <c r="E1243" s="105"/>
      <c r="F1243" s="105"/>
    </row>
    <row r="1244" spans="1:6">
      <c r="A1244"/>
      <c r="B1244" s="223"/>
      <c r="D1244" s="105"/>
      <c r="E1244" s="105"/>
      <c r="F1244" s="105"/>
    </row>
    <row r="1245" spans="1:6">
      <c r="A1245"/>
      <c r="B1245" s="223"/>
      <c r="D1245" s="105"/>
      <c r="E1245" s="105"/>
      <c r="F1245" s="105"/>
    </row>
    <row r="1246" spans="1:6">
      <c r="A1246"/>
      <c r="B1246" s="223"/>
      <c r="D1246" s="105"/>
      <c r="E1246" s="105"/>
      <c r="F1246" s="105"/>
    </row>
    <row r="1247" spans="1:6">
      <c r="A1247"/>
      <c r="B1247" s="223"/>
      <c r="D1247" s="105"/>
      <c r="E1247" s="105"/>
      <c r="F1247" s="105"/>
    </row>
    <row r="1248" spans="1:6">
      <c r="A1248"/>
      <c r="B1248" s="223"/>
      <c r="D1248" s="105"/>
      <c r="E1248" s="105"/>
      <c r="F1248" s="105"/>
    </row>
    <row r="1249" spans="1:6">
      <c r="A1249"/>
      <c r="B1249" s="223"/>
      <c r="D1249" s="105"/>
      <c r="E1249" s="105"/>
      <c r="F1249" s="105"/>
    </row>
    <row r="1250" spans="1:6">
      <c r="A1250"/>
      <c r="B1250" s="223"/>
      <c r="D1250" s="105"/>
      <c r="E1250" s="105"/>
      <c r="F1250" s="105"/>
    </row>
    <row r="1251" spans="1:6">
      <c r="A1251"/>
      <c r="B1251" s="223"/>
      <c r="D1251" s="105"/>
      <c r="E1251" s="105"/>
      <c r="F1251" s="105"/>
    </row>
    <row r="1252" spans="1:6">
      <c r="A1252"/>
      <c r="B1252" s="223"/>
      <c r="D1252" s="105"/>
      <c r="E1252" s="105"/>
      <c r="F1252" s="105"/>
    </row>
    <row r="1253" spans="1:6">
      <c r="A1253"/>
      <c r="B1253" s="223"/>
      <c r="D1253" s="105"/>
      <c r="E1253" s="105"/>
      <c r="F1253" s="105"/>
    </row>
    <row r="1254" spans="1:6">
      <c r="A1254"/>
      <c r="B1254" s="223"/>
      <c r="D1254" s="105"/>
      <c r="E1254" s="105"/>
      <c r="F1254" s="105"/>
    </row>
    <row r="1255" spans="1:6">
      <c r="A1255"/>
      <c r="B1255" s="223"/>
      <c r="D1255" s="105"/>
      <c r="E1255" s="105"/>
      <c r="F1255" s="105"/>
    </row>
    <row r="1256" spans="1:6">
      <c r="A1256"/>
      <c r="B1256" s="223"/>
      <c r="D1256" s="105"/>
      <c r="E1256" s="105"/>
      <c r="F1256" s="105"/>
    </row>
    <row r="1257" spans="1:6">
      <c r="A1257"/>
      <c r="B1257" s="223"/>
      <c r="D1257" s="105"/>
      <c r="E1257" s="105"/>
      <c r="F1257" s="105"/>
    </row>
    <row r="1258" spans="1:6">
      <c r="A1258"/>
      <c r="B1258" s="223"/>
      <c r="D1258" s="105"/>
      <c r="E1258" s="105"/>
      <c r="F1258" s="105"/>
    </row>
    <row r="1259" spans="1:6">
      <c r="A1259"/>
      <c r="B1259" s="223"/>
      <c r="D1259" s="105"/>
      <c r="E1259" s="105"/>
      <c r="F1259" s="105"/>
    </row>
    <row r="1260" spans="1:6">
      <c r="A1260"/>
      <c r="B1260" s="223"/>
      <c r="D1260" s="105"/>
      <c r="E1260" s="105"/>
      <c r="F1260" s="105"/>
    </row>
    <row r="1261" spans="1:6">
      <c r="A1261"/>
      <c r="B1261" s="223"/>
      <c r="D1261" s="105"/>
      <c r="E1261" s="105"/>
      <c r="F1261" s="105"/>
    </row>
    <row r="1262" spans="1:6">
      <c r="A1262"/>
      <c r="B1262" s="223"/>
      <c r="D1262" s="105"/>
      <c r="E1262" s="105"/>
      <c r="F1262" s="105"/>
    </row>
    <row r="1263" spans="1:6">
      <c r="A1263"/>
      <c r="B1263" s="223"/>
      <c r="D1263" s="105"/>
      <c r="E1263" s="105"/>
      <c r="F1263" s="105"/>
    </row>
    <row r="1264" spans="1:6">
      <c r="A1264"/>
      <c r="B1264" s="223"/>
      <c r="D1264" s="105"/>
      <c r="E1264" s="105"/>
      <c r="F1264" s="105"/>
    </row>
    <row r="1265" spans="1:6">
      <c r="A1265"/>
      <c r="B1265" s="223"/>
      <c r="D1265" s="105"/>
      <c r="E1265" s="105"/>
      <c r="F1265" s="105"/>
    </row>
    <row r="1266" spans="1:6">
      <c r="A1266"/>
      <c r="B1266" s="223"/>
      <c r="D1266" s="105"/>
      <c r="E1266" s="105"/>
      <c r="F1266" s="105"/>
    </row>
    <row r="1267" spans="1:6">
      <c r="A1267"/>
      <c r="B1267" s="223"/>
      <c r="D1267" s="105"/>
      <c r="E1267" s="105"/>
      <c r="F1267" s="105"/>
    </row>
    <row r="1268" spans="1:6">
      <c r="A1268"/>
      <c r="B1268" s="223"/>
      <c r="D1268" s="105"/>
      <c r="E1268" s="105"/>
      <c r="F1268" s="105"/>
    </row>
    <row r="1269" spans="1:6">
      <c r="A1269"/>
      <c r="B1269" s="223"/>
      <c r="D1269" s="105"/>
      <c r="E1269" s="105"/>
      <c r="F1269" s="105"/>
    </row>
    <row r="1270" spans="1:6">
      <c r="A1270"/>
      <c r="B1270" s="223"/>
      <c r="D1270" s="105"/>
      <c r="E1270" s="105"/>
      <c r="F1270" s="105"/>
    </row>
    <row r="1271" spans="1:6">
      <c r="A1271"/>
      <c r="B1271" s="223"/>
      <c r="D1271" s="105"/>
      <c r="E1271" s="105"/>
      <c r="F1271" s="105"/>
    </row>
    <row r="1272" spans="1:6">
      <c r="A1272"/>
      <c r="B1272" s="223"/>
      <c r="D1272" s="105"/>
      <c r="E1272" s="105"/>
      <c r="F1272" s="105"/>
    </row>
    <row r="1273" spans="1:6">
      <c r="A1273"/>
      <c r="B1273" s="223"/>
      <c r="D1273" s="105"/>
      <c r="E1273" s="105"/>
      <c r="F1273" s="105"/>
    </row>
    <row r="1274" spans="1:6">
      <c r="A1274"/>
      <c r="B1274" s="223"/>
      <c r="D1274" s="105"/>
      <c r="E1274" s="105"/>
      <c r="F1274" s="105"/>
    </row>
    <row r="1275" spans="1:6">
      <c r="A1275"/>
      <c r="B1275" s="223"/>
      <c r="D1275" s="105"/>
      <c r="E1275" s="105"/>
      <c r="F1275" s="105"/>
    </row>
    <row r="1276" spans="1:6">
      <c r="A1276"/>
      <c r="B1276" s="223"/>
      <c r="D1276" s="105"/>
      <c r="E1276" s="105"/>
      <c r="F1276" s="105"/>
    </row>
    <row r="1277" spans="1:6">
      <c r="A1277"/>
      <c r="B1277" s="223"/>
      <c r="D1277" s="105"/>
      <c r="E1277" s="105"/>
      <c r="F1277" s="105"/>
    </row>
    <row r="1278" spans="1:6">
      <c r="A1278"/>
      <c r="B1278" s="223"/>
      <c r="D1278" s="105"/>
      <c r="E1278" s="105"/>
      <c r="F1278" s="105"/>
    </row>
    <row r="1279" spans="1:6">
      <c r="A1279"/>
      <c r="B1279" s="223"/>
      <c r="D1279" s="105"/>
      <c r="E1279" s="105"/>
      <c r="F1279" s="105"/>
    </row>
    <row r="1280" spans="1:6">
      <c r="A1280"/>
      <c r="B1280" s="223"/>
      <c r="D1280" s="105"/>
      <c r="E1280" s="105"/>
      <c r="F1280" s="105"/>
    </row>
    <row r="1281" spans="1:6">
      <c r="A1281"/>
      <c r="B1281" s="223"/>
      <c r="D1281" s="105"/>
      <c r="E1281" s="105"/>
      <c r="F1281" s="105"/>
    </row>
    <row r="1282" spans="1:6">
      <c r="A1282"/>
      <c r="B1282" s="223"/>
      <c r="D1282" s="105"/>
      <c r="E1282" s="105"/>
      <c r="F1282" s="105"/>
    </row>
    <row r="1283" spans="1:6">
      <c r="A1283"/>
      <c r="B1283" s="223"/>
      <c r="D1283" s="105"/>
      <c r="E1283" s="105"/>
      <c r="F1283" s="105"/>
    </row>
    <row r="1284" spans="1:6">
      <c r="A1284"/>
      <c r="B1284" s="223"/>
      <c r="D1284" s="105"/>
      <c r="E1284" s="105"/>
      <c r="F1284" s="105"/>
    </row>
    <row r="1285" spans="1:6">
      <c r="A1285"/>
      <c r="B1285" s="223"/>
      <c r="D1285" s="105"/>
      <c r="E1285" s="105"/>
      <c r="F1285" s="105"/>
    </row>
    <row r="1286" spans="1:6">
      <c r="A1286"/>
      <c r="B1286" s="223"/>
      <c r="D1286" s="105"/>
      <c r="E1286" s="105"/>
      <c r="F1286" s="105"/>
    </row>
    <row r="1287" spans="1:6">
      <c r="A1287"/>
      <c r="B1287" s="223"/>
      <c r="D1287" s="105"/>
      <c r="E1287" s="105"/>
      <c r="F1287" s="105"/>
    </row>
    <row r="1288" spans="1:6">
      <c r="A1288"/>
      <c r="B1288" s="223"/>
      <c r="D1288" s="105"/>
      <c r="E1288" s="105"/>
      <c r="F1288" s="105"/>
    </row>
    <row r="1289" spans="1:6">
      <c r="A1289"/>
      <c r="B1289" s="223"/>
      <c r="D1289" s="105"/>
      <c r="E1289" s="105"/>
      <c r="F1289" s="105"/>
    </row>
    <row r="1290" spans="1:6">
      <c r="A1290"/>
      <c r="B1290" s="223"/>
      <c r="D1290" s="105"/>
      <c r="E1290" s="105"/>
      <c r="F1290" s="105"/>
    </row>
    <row r="1291" spans="1:6">
      <c r="A1291"/>
      <c r="B1291" s="223"/>
      <c r="D1291" s="105"/>
      <c r="E1291" s="105"/>
      <c r="F1291" s="105"/>
    </row>
    <row r="1292" spans="1:6">
      <c r="A1292"/>
      <c r="B1292" s="223"/>
      <c r="D1292" s="105"/>
      <c r="E1292" s="105"/>
      <c r="F1292" s="105"/>
    </row>
    <row r="1293" spans="1:6">
      <c r="A1293"/>
      <c r="B1293" s="223"/>
      <c r="D1293" s="105"/>
      <c r="E1293" s="105"/>
      <c r="F1293" s="105"/>
    </row>
    <row r="1294" spans="1:6">
      <c r="A1294"/>
      <c r="B1294" s="223"/>
      <c r="D1294" s="105"/>
      <c r="E1294" s="105"/>
      <c r="F1294" s="105"/>
    </row>
    <row r="1295" spans="1:6">
      <c r="A1295"/>
      <c r="B1295" s="223"/>
      <c r="D1295" s="105"/>
      <c r="E1295" s="105"/>
      <c r="F1295" s="105"/>
    </row>
    <row r="1296" spans="1:6">
      <c r="A1296"/>
      <c r="B1296" s="223"/>
      <c r="D1296" s="105"/>
      <c r="E1296" s="105"/>
      <c r="F1296" s="105"/>
    </row>
    <row r="1297" spans="1:6">
      <c r="A1297"/>
      <c r="B1297" s="223"/>
      <c r="D1297" s="105"/>
      <c r="E1297" s="105"/>
      <c r="F1297" s="105"/>
    </row>
    <row r="1298" spans="1:6">
      <c r="A1298"/>
      <c r="B1298" s="223"/>
      <c r="D1298" s="105"/>
      <c r="E1298" s="105"/>
      <c r="F1298" s="105"/>
    </row>
    <row r="1299" spans="1:6">
      <c r="A1299"/>
      <c r="B1299" s="223"/>
      <c r="D1299" s="105"/>
      <c r="E1299" s="105"/>
      <c r="F1299" s="105"/>
    </row>
    <row r="1300" spans="1:6">
      <c r="A1300"/>
      <c r="B1300" s="223"/>
      <c r="D1300" s="105"/>
      <c r="E1300" s="105"/>
      <c r="F1300" s="105"/>
    </row>
    <row r="1301" spans="1:6">
      <c r="A1301"/>
      <c r="B1301" s="223"/>
      <c r="D1301" s="105"/>
      <c r="E1301" s="105"/>
      <c r="F1301" s="105"/>
    </row>
    <row r="1302" spans="1:6">
      <c r="A1302"/>
      <c r="B1302" s="223"/>
      <c r="D1302" s="105"/>
      <c r="E1302" s="105"/>
      <c r="F1302" s="105"/>
    </row>
    <row r="1303" spans="1:6">
      <c r="A1303"/>
      <c r="B1303" s="223"/>
      <c r="D1303" s="105"/>
      <c r="E1303" s="105"/>
      <c r="F1303" s="105"/>
    </row>
    <row r="1304" spans="1:6">
      <c r="A1304"/>
      <c r="B1304" s="223"/>
      <c r="D1304" s="105"/>
      <c r="E1304" s="105"/>
      <c r="F1304" s="105"/>
    </row>
    <row r="1305" spans="1:6">
      <c r="A1305"/>
      <c r="B1305" s="223"/>
      <c r="D1305" s="105"/>
      <c r="E1305" s="105"/>
      <c r="F1305" s="105"/>
    </row>
    <row r="1306" spans="1:6">
      <c r="A1306"/>
      <c r="B1306" s="223"/>
      <c r="D1306" s="105"/>
      <c r="E1306" s="105"/>
      <c r="F1306" s="105"/>
    </row>
    <row r="1307" spans="1:6">
      <c r="A1307"/>
      <c r="B1307" s="223"/>
      <c r="D1307" s="105"/>
      <c r="E1307" s="105"/>
      <c r="F1307" s="105"/>
    </row>
    <row r="1308" spans="1:6">
      <c r="A1308"/>
      <c r="B1308" s="223"/>
      <c r="D1308" s="105"/>
      <c r="E1308" s="105"/>
      <c r="F1308" s="105"/>
    </row>
    <row r="1309" spans="1:6">
      <c r="A1309"/>
      <c r="B1309" s="223"/>
      <c r="D1309" s="105"/>
      <c r="E1309" s="105"/>
      <c r="F1309" s="105"/>
    </row>
    <row r="1310" spans="1:6">
      <c r="A1310"/>
      <c r="B1310" s="223"/>
      <c r="D1310" s="105"/>
      <c r="E1310" s="105"/>
      <c r="F1310" s="105"/>
    </row>
    <row r="1311" spans="1:6">
      <c r="A1311"/>
      <c r="B1311" s="223"/>
      <c r="D1311" s="105"/>
      <c r="E1311" s="105"/>
      <c r="F1311" s="105"/>
    </row>
    <row r="1312" spans="1:6">
      <c r="A1312"/>
      <c r="B1312" s="223"/>
      <c r="D1312" s="105"/>
      <c r="E1312" s="105"/>
      <c r="F1312" s="105"/>
    </row>
    <row r="1313" spans="1:6">
      <c r="A1313"/>
      <c r="B1313" s="223"/>
      <c r="D1313" s="105"/>
      <c r="E1313" s="105"/>
      <c r="F1313" s="105"/>
    </row>
    <row r="1314" spans="1:6">
      <c r="A1314"/>
      <c r="B1314" s="223"/>
      <c r="D1314" s="105"/>
      <c r="E1314" s="105"/>
      <c r="F1314" s="105"/>
    </row>
    <row r="1315" spans="1:6">
      <c r="A1315"/>
      <c r="B1315" s="223"/>
      <c r="D1315" s="105"/>
      <c r="E1315" s="105"/>
      <c r="F1315" s="105"/>
    </row>
    <row r="1316" spans="1:6">
      <c r="A1316"/>
      <c r="B1316" s="223"/>
      <c r="D1316" s="105"/>
      <c r="E1316" s="105"/>
      <c r="F1316" s="105"/>
    </row>
    <row r="1317" spans="1:6">
      <c r="A1317"/>
      <c r="B1317" s="223"/>
      <c r="D1317" s="105"/>
      <c r="E1317" s="105"/>
      <c r="F1317" s="105"/>
    </row>
    <row r="1318" spans="1:6">
      <c r="A1318"/>
      <c r="B1318" s="223"/>
      <c r="D1318" s="105"/>
      <c r="E1318" s="105"/>
      <c r="F1318" s="105"/>
    </row>
    <row r="1319" spans="1:6">
      <c r="A1319"/>
      <c r="B1319" s="223"/>
      <c r="D1319" s="105"/>
      <c r="E1319" s="105"/>
      <c r="F1319" s="105"/>
    </row>
    <row r="1320" spans="1:6">
      <c r="A1320"/>
      <c r="B1320" s="223"/>
      <c r="D1320" s="105"/>
      <c r="E1320" s="105"/>
      <c r="F1320" s="105"/>
    </row>
    <row r="1321" spans="1:6">
      <c r="A1321"/>
      <c r="B1321" s="223"/>
      <c r="D1321" s="105"/>
      <c r="E1321" s="105"/>
      <c r="F1321" s="105"/>
    </row>
    <row r="1322" spans="1:6">
      <c r="A1322"/>
      <c r="B1322" s="223"/>
      <c r="D1322" s="105"/>
      <c r="E1322" s="105"/>
      <c r="F1322" s="105"/>
    </row>
    <row r="1323" spans="1:6">
      <c r="A1323"/>
      <c r="B1323" s="223"/>
      <c r="D1323" s="105"/>
      <c r="E1323" s="105"/>
      <c r="F1323" s="105"/>
    </row>
    <row r="1324" spans="1:6">
      <c r="A1324"/>
      <c r="B1324" s="223"/>
      <c r="D1324" s="105"/>
      <c r="E1324" s="105"/>
      <c r="F1324" s="105"/>
    </row>
    <row r="1325" spans="1:6">
      <c r="A1325"/>
      <c r="B1325" s="223"/>
      <c r="D1325" s="105"/>
      <c r="E1325" s="105"/>
      <c r="F1325" s="105"/>
    </row>
    <row r="1326" spans="1:6">
      <c r="A1326"/>
      <c r="B1326" s="223"/>
      <c r="D1326" s="105"/>
      <c r="E1326" s="105"/>
      <c r="F1326" s="105"/>
    </row>
    <row r="1327" spans="1:6">
      <c r="A1327"/>
      <c r="B1327" s="223"/>
      <c r="D1327" s="105"/>
      <c r="E1327" s="105"/>
      <c r="F1327" s="105"/>
    </row>
    <row r="1328" spans="1:6">
      <c r="A1328"/>
      <c r="B1328" s="223"/>
      <c r="D1328" s="105"/>
      <c r="E1328" s="105"/>
      <c r="F1328" s="105"/>
    </row>
    <row r="1329" spans="1:6">
      <c r="A1329"/>
      <c r="B1329" s="223"/>
      <c r="D1329" s="105"/>
      <c r="E1329" s="105"/>
      <c r="F1329" s="105"/>
    </row>
    <row r="1330" spans="1:6">
      <c r="A1330"/>
      <c r="B1330" s="223"/>
      <c r="D1330" s="105"/>
      <c r="E1330" s="105"/>
      <c r="F1330" s="105"/>
    </row>
    <row r="1331" spans="1:6">
      <c r="A1331"/>
      <c r="B1331" s="223"/>
      <c r="D1331" s="105"/>
      <c r="E1331" s="105"/>
      <c r="F1331" s="105"/>
    </row>
    <row r="1332" spans="1:6">
      <c r="A1332"/>
      <c r="B1332" s="223"/>
      <c r="D1332" s="105"/>
      <c r="E1332" s="105"/>
      <c r="F1332" s="105"/>
    </row>
    <row r="1333" spans="1:6">
      <c r="A1333"/>
      <c r="B1333" s="223"/>
      <c r="D1333" s="105"/>
      <c r="E1333" s="105"/>
      <c r="F1333" s="105"/>
    </row>
    <row r="1334" spans="1:6">
      <c r="A1334"/>
      <c r="B1334" s="223"/>
      <c r="D1334" s="105"/>
      <c r="E1334" s="105"/>
      <c r="F1334" s="105"/>
    </row>
    <row r="1335" spans="1:6">
      <c r="A1335"/>
      <c r="B1335" s="223"/>
      <c r="D1335" s="105"/>
      <c r="E1335" s="105"/>
      <c r="F1335" s="105"/>
    </row>
    <row r="1336" spans="1:6">
      <c r="A1336"/>
      <c r="B1336" s="223"/>
      <c r="D1336" s="105"/>
      <c r="E1336" s="105"/>
      <c r="F1336" s="105"/>
    </row>
    <row r="1337" spans="1:6">
      <c r="A1337"/>
      <c r="B1337" s="223"/>
      <c r="D1337" s="105"/>
      <c r="E1337" s="105"/>
      <c r="F1337" s="105"/>
    </row>
    <row r="1338" spans="1:6">
      <c r="A1338"/>
      <c r="B1338" s="223"/>
      <c r="D1338" s="105"/>
      <c r="E1338" s="105"/>
      <c r="F1338" s="105"/>
    </row>
    <row r="1339" spans="1:6">
      <c r="A1339"/>
      <c r="B1339" s="223"/>
      <c r="D1339" s="105"/>
      <c r="E1339" s="105"/>
      <c r="F1339" s="105"/>
    </row>
    <row r="1340" spans="1:6">
      <c r="A1340"/>
      <c r="B1340" s="223"/>
      <c r="D1340" s="105"/>
      <c r="E1340" s="105"/>
      <c r="F1340" s="105"/>
    </row>
    <row r="1341" spans="1:6">
      <c r="A1341"/>
      <c r="B1341" s="223"/>
      <c r="D1341" s="105"/>
      <c r="E1341" s="105"/>
      <c r="F1341" s="105"/>
    </row>
    <row r="1342" spans="1:6">
      <c r="A1342"/>
      <c r="B1342" s="223"/>
      <c r="D1342" s="105"/>
      <c r="E1342" s="105"/>
      <c r="F1342" s="105"/>
    </row>
    <row r="1343" spans="1:6">
      <c r="A1343"/>
      <c r="B1343" s="223"/>
      <c r="D1343" s="105"/>
      <c r="E1343" s="105"/>
      <c r="F1343" s="105"/>
    </row>
    <row r="1344" spans="1:6">
      <c r="A1344"/>
      <c r="B1344" s="223"/>
      <c r="D1344" s="105"/>
      <c r="E1344" s="105"/>
      <c r="F1344" s="105"/>
    </row>
    <row r="1345" spans="1:6">
      <c r="A1345"/>
      <c r="B1345" s="223"/>
      <c r="D1345" s="105"/>
      <c r="E1345" s="105"/>
      <c r="F1345" s="105"/>
    </row>
    <row r="1346" spans="1:6">
      <c r="A1346"/>
      <c r="B1346" s="223"/>
      <c r="D1346" s="105"/>
      <c r="E1346" s="105"/>
      <c r="F1346" s="105"/>
    </row>
    <row r="1347" spans="1:6">
      <c r="A1347"/>
      <c r="B1347" s="223"/>
      <c r="D1347" s="105"/>
      <c r="E1347" s="105"/>
      <c r="F1347" s="105"/>
    </row>
    <row r="1348" spans="1:6">
      <c r="A1348"/>
      <c r="B1348" s="223"/>
      <c r="D1348" s="105"/>
      <c r="E1348" s="105"/>
      <c r="F1348" s="105"/>
    </row>
    <row r="1349" spans="1:6">
      <c r="A1349"/>
      <c r="B1349" s="223"/>
      <c r="D1349" s="105"/>
      <c r="E1349" s="105"/>
      <c r="F1349" s="105"/>
    </row>
    <row r="1350" spans="1:6">
      <c r="A1350"/>
      <c r="B1350" s="223"/>
      <c r="D1350" s="105"/>
      <c r="E1350" s="105"/>
      <c r="F1350" s="105"/>
    </row>
    <row r="1351" spans="1:6">
      <c r="A1351"/>
      <c r="B1351" s="223"/>
      <c r="D1351" s="105"/>
      <c r="E1351" s="105"/>
      <c r="F1351" s="105"/>
    </row>
    <row r="1352" spans="1:6">
      <c r="A1352"/>
      <c r="B1352" s="223"/>
      <c r="D1352" s="105"/>
      <c r="E1352" s="105"/>
      <c r="F1352" s="105"/>
    </row>
    <row r="1353" spans="1:6">
      <c r="A1353"/>
      <c r="B1353" s="223"/>
      <c r="D1353" s="105"/>
      <c r="E1353" s="105"/>
      <c r="F1353" s="105"/>
    </row>
    <row r="1354" spans="1:6">
      <c r="A1354"/>
      <c r="B1354" s="223"/>
      <c r="D1354" s="105"/>
      <c r="E1354" s="105"/>
      <c r="F1354" s="105"/>
    </row>
    <row r="1355" spans="1:6">
      <c r="A1355"/>
      <c r="B1355" s="223"/>
      <c r="D1355" s="105"/>
      <c r="E1355" s="105"/>
      <c r="F1355" s="105"/>
    </row>
    <row r="1356" spans="1:6">
      <c r="A1356"/>
      <c r="B1356" s="223"/>
      <c r="D1356" s="105"/>
      <c r="E1356" s="105"/>
      <c r="F1356" s="105"/>
    </row>
    <row r="1357" spans="1:6">
      <c r="A1357"/>
      <c r="B1357" s="223"/>
      <c r="D1357" s="105"/>
      <c r="E1357" s="105"/>
      <c r="F1357" s="105"/>
    </row>
    <row r="1358" spans="1:6">
      <c r="A1358"/>
      <c r="B1358" s="223"/>
      <c r="D1358" s="105"/>
      <c r="E1358" s="105"/>
      <c r="F1358" s="105"/>
    </row>
    <row r="1359" spans="1:6">
      <c r="A1359"/>
      <c r="B1359" s="223"/>
      <c r="D1359" s="105"/>
      <c r="E1359" s="105"/>
      <c r="F1359" s="105"/>
    </row>
    <row r="1360" spans="1:6">
      <c r="A1360"/>
      <c r="B1360" s="223"/>
      <c r="D1360" s="105"/>
      <c r="E1360" s="105"/>
      <c r="F1360" s="105"/>
    </row>
    <row r="1361" spans="1:6">
      <c r="A1361"/>
      <c r="B1361" s="223"/>
      <c r="D1361" s="105"/>
      <c r="E1361" s="105"/>
      <c r="F1361" s="105"/>
    </row>
    <row r="1362" spans="1:6">
      <c r="A1362"/>
      <c r="B1362" s="223"/>
      <c r="D1362" s="105"/>
      <c r="E1362" s="105"/>
      <c r="F1362" s="105"/>
    </row>
    <row r="1363" spans="1:6">
      <c r="A1363"/>
      <c r="B1363" s="223"/>
      <c r="D1363" s="105"/>
      <c r="E1363" s="105"/>
      <c r="F1363" s="105"/>
    </row>
    <row r="1364" spans="1:6">
      <c r="A1364"/>
      <c r="B1364" s="223"/>
      <c r="D1364" s="105"/>
      <c r="E1364" s="105"/>
      <c r="F1364" s="105"/>
    </row>
    <row r="1365" spans="1:6">
      <c r="A1365"/>
      <c r="B1365" s="223"/>
      <c r="D1365" s="105"/>
      <c r="E1365" s="105"/>
      <c r="F1365" s="105"/>
    </row>
    <row r="1366" spans="1:6">
      <c r="A1366"/>
      <c r="B1366" s="223"/>
      <c r="D1366" s="105"/>
      <c r="E1366" s="105"/>
      <c r="F1366" s="105"/>
    </row>
    <row r="1367" spans="1:6">
      <c r="A1367"/>
      <c r="B1367" s="223"/>
      <c r="D1367" s="105"/>
      <c r="E1367" s="105"/>
      <c r="F1367" s="105"/>
    </row>
    <row r="1368" spans="1:6">
      <c r="A1368"/>
      <c r="B1368" s="223"/>
      <c r="D1368" s="105"/>
      <c r="E1368" s="105"/>
      <c r="F1368" s="105"/>
    </row>
    <row r="1369" spans="1:6">
      <c r="A1369"/>
      <c r="B1369" s="223"/>
      <c r="D1369" s="105"/>
      <c r="E1369" s="105"/>
      <c r="F1369" s="105"/>
    </row>
    <row r="1370" spans="1:6">
      <c r="A1370"/>
      <c r="B1370" s="223"/>
      <c r="D1370" s="105"/>
      <c r="E1370" s="105"/>
      <c r="F1370" s="105"/>
    </row>
    <row r="1371" spans="1:6">
      <c r="A1371"/>
      <c r="B1371" s="223"/>
      <c r="D1371" s="105"/>
      <c r="E1371" s="105"/>
      <c r="F1371" s="105"/>
    </row>
    <row r="1372" spans="1:6">
      <c r="A1372"/>
      <c r="B1372" s="223"/>
      <c r="D1372" s="105"/>
      <c r="E1372" s="105"/>
      <c r="F1372" s="105"/>
    </row>
    <row r="1373" spans="1:6">
      <c r="A1373"/>
      <c r="B1373" s="223"/>
      <c r="D1373" s="105"/>
      <c r="E1373" s="105"/>
      <c r="F1373" s="105"/>
    </row>
    <row r="1374" spans="1:6">
      <c r="A1374"/>
      <c r="B1374" s="223"/>
      <c r="D1374" s="105"/>
      <c r="E1374" s="105"/>
      <c r="F1374" s="105"/>
    </row>
    <row r="1375" spans="1:6">
      <c r="A1375"/>
      <c r="B1375" s="223"/>
      <c r="D1375" s="105"/>
      <c r="E1375" s="105"/>
      <c r="F1375" s="105"/>
    </row>
    <row r="1376" spans="1:6">
      <c r="A1376"/>
      <c r="B1376" s="223"/>
      <c r="D1376" s="105"/>
      <c r="E1376" s="105"/>
      <c r="F1376" s="105"/>
    </row>
    <row r="1377" spans="1:6">
      <c r="A1377"/>
      <c r="B1377" s="223"/>
      <c r="D1377" s="105"/>
      <c r="E1377" s="105"/>
      <c r="F1377" s="105"/>
    </row>
    <row r="1378" spans="1:6">
      <c r="A1378"/>
      <c r="B1378" s="223"/>
      <c r="D1378" s="105"/>
      <c r="E1378" s="105"/>
      <c r="F1378" s="105"/>
    </row>
    <row r="1379" spans="1:6">
      <c r="A1379"/>
      <c r="B1379" s="223"/>
      <c r="D1379" s="105"/>
      <c r="E1379" s="105"/>
      <c r="F1379" s="105"/>
    </row>
    <row r="1380" spans="1:6">
      <c r="A1380"/>
      <c r="B1380" s="223"/>
      <c r="D1380" s="105"/>
      <c r="E1380" s="105"/>
      <c r="F1380" s="105"/>
    </row>
    <row r="1381" spans="1:6">
      <c r="A1381"/>
      <c r="B1381" s="223"/>
      <c r="D1381" s="105"/>
      <c r="E1381" s="105"/>
      <c r="F1381" s="105"/>
    </row>
    <row r="1382" spans="1:6">
      <c r="A1382"/>
      <c r="B1382" s="223"/>
      <c r="D1382" s="105"/>
      <c r="E1382" s="105"/>
      <c r="F1382" s="105"/>
    </row>
    <row r="1383" spans="1:6">
      <c r="A1383"/>
      <c r="B1383" s="223"/>
      <c r="D1383" s="105"/>
      <c r="E1383" s="105"/>
      <c r="F1383" s="105"/>
    </row>
    <row r="1384" spans="1:6">
      <c r="A1384"/>
      <c r="B1384" s="223"/>
      <c r="D1384" s="105"/>
      <c r="E1384" s="105"/>
      <c r="F1384" s="105"/>
    </row>
    <row r="1385" spans="1:6">
      <c r="A1385"/>
      <c r="B1385" s="223"/>
      <c r="D1385" s="105"/>
      <c r="E1385" s="105"/>
      <c r="F1385" s="105"/>
    </row>
    <row r="1386" spans="1:6">
      <c r="A1386"/>
      <c r="B1386" s="223"/>
      <c r="D1386" s="105"/>
      <c r="E1386" s="105"/>
      <c r="F1386" s="105"/>
    </row>
    <row r="1387" spans="1:6">
      <c r="A1387"/>
      <c r="B1387" s="223"/>
      <c r="D1387" s="105"/>
      <c r="E1387" s="105"/>
      <c r="F1387" s="105"/>
    </row>
    <row r="1388" spans="1:6">
      <c r="A1388"/>
      <c r="B1388" s="223"/>
      <c r="D1388" s="105"/>
      <c r="E1388" s="105"/>
      <c r="F1388" s="105"/>
    </row>
    <row r="1389" spans="1:6">
      <c r="A1389"/>
      <c r="B1389" s="223"/>
      <c r="D1389" s="105"/>
      <c r="E1389" s="105"/>
      <c r="F1389" s="105"/>
    </row>
    <row r="1390" spans="1:6">
      <c r="A1390"/>
      <c r="B1390" s="223"/>
      <c r="D1390" s="105"/>
      <c r="E1390" s="105"/>
      <c r="F1390" s="105"/>
    </row>
    <row r="1391" spans="1:6">
      <c r="A1391"/>
      <c r="B1391" s="223"/>
      <c r="D1391" s="105"/>
      <c r="E1391" s="105"/>
      <c r="F1391" s="105"/>
    </row>
    <row r="1392" spans="1:6">
      <c r="A1392"/>
      <c r="B1392" s="223"/>
      <c r="D1392" s="105"/>
      <c r="E1392" s="105"/>
      <c r="F1392" s="105"/>
    </row>
    <row r="1393" spans="1:6">
      <c r="A1393"/>
      <c r="B1393" s="223"/>
      <c r="D1393" s="105"/>
      <c r="E1393" s="105"/>
      <c r="F1393" s="105"/>
    </row>
    <row r="1394" spans="1:6">
      <c r="A1394"/>
      <c r="B1394" s="223"/>
      <c r="D1394" s="105"/>
      <c r="E1394" s="105"/>
      <c r="F1394" s="105"/>
    </row>
    <row r="1395" spans="1:6">
      <c r="A1395"/>
      <c r="B1395" s="223"/>
      <c r="D1395" s="105"/>
      <c r="E1395" s="105"/>
      <c r="F1395" s="105"/>
    </row>
    <row r="1396" spans="1:6">
      <c r="A1396"/>
      <c r="B1396" s="223"/>
      <c r="D1396" s="105"/>
      <c r="E1396" s="105"/>
      <c r="F1396" s="105"/>
    </row>
    <row r="1397" spans="1:6">
      <c r="A1397"/>
      <c r="B1397" s="223"/>
      <c r="D1397" s="105"/>
      <c r="E1397" s="105"/>
      <c r="F1397" s="105"/>
    </row>
    <row r="1398" spans="1:6">
      <c r="A1398"/>
      <c r="B1398" s="223"/>
      <c r="D1398" s="105"/>
      <c r="E1398" s="105"/>
      <c r="F1398" s="105"/>
    </row>
    <row r="1399" spans="1:6">
      <c r="A1399"/>
      <c r="B1399" s="223"/>
      <c r="D1399" s="105"/>
      <c r="E1399" s="105"/>
      <c r="F1399" s="105"/>
    </row>
    <row r="1400" spans="1:6">
      <c r="A1400"/>
      <c r="B1400" s="223"/>
      <c r="D1400" s="105"/>
      <c r="E1400" s="105"/>
      <c r="F1400" s="105"/>
    </row>
    <row r="1401" spans="1:6">
      <c r="A1401"/>
      <c r="B1401" s="223"/>
      <c r="D1401" s="105"/>
      <c r="E1401" s="105"/>
      <c r="F1401" s="105"/>
    </row>
    <row r="1402" spans="1:6">
      <c r="A1402"/>
      <c r="B1402" s="223"/>
      <c r="D1402" s="105"/>
      <c r="E1402" s="105"/>
      <c r="F1402" s="105"/>
    </row>
    <row r="1403" spans="1:6">
      <c r="A1403"/>
      <c r="B1403" s="223"/>
      <c r="D1403" s="105"/>
      <c r="E1403" s="105"/>
      <c r="F1403" s="105"/>
    </row>
    <row r="1404" spans="1:6">
      <c r="A1404"/>
      <c r="B1404" s="223"/>
      <c r="D1404" s="105"/>
      <c r="E1404" s="105"/>
      <c r="F1404" s="105"/>
    </row>
    <row r="1405" spans="1:6">
      <c r="A1405"/>
      <c r="B1405" s="223"/>
      <c r="D1405" s="105"/>
      <c r="E1405" s="105"/>
      <c r="F1405" s="105"/>
    </row>
    <row r="1406" spans="1:6">
      <c r="A1406"/>
      <c r="B1406" s="223"/>
      <c r="D1406" s="105"/>
      <c r="E1406" s="105"/>
      <c r="F1406" s="105"/>
    </row>
    <row r="1407" spans="1:6">
      <c r="A1407"/>
      <c r="B1407" s="223"/>
      <c r="D1407" s="105"/>
      <c r="E1407" s="105"/>
      <c r="F1407" s="105"/>
    </row>
    <row r="1408" spans="1:6">
      <c r="A1408"/>
      <c r="B1408" s="223"/>
      <c r="D1408" s="105"/>
      <c r="E1408" s="105"/>
      <c r="F1408" s="105"/>
    </row>
    <row r="1409" spans="1:6">
      <c r="A1409"/>
      <c r="B1409" s="223"/>
      <c r="D1409" s="105"/>
      <c r="E1409" s="105"/>
      <c r="F1409" s="105"/>
    </row>
    <row r="1410" spans="1:6">
      <c r="A1410"/>
      <c r="B1410" s="223"/>
      <c r="D1410" s="105"/>
      <c r="E1410" s="105"/>
      <c r="F1410" s="105"/>
    </row>
    <row r="1411" spans="1:6">
      <c r="A1411"/>
      <c r="B1411" s="223"/>
      <c r="D1411" s="105"/>
      <c r="E1411" s="105"/>
      <c r="F1411" s="105"/>
    </row>
    <row r="1412" spans="1:6">
      <c r="A1412"/>
      <c r="B1412" s="223"/>
      <c r="D1412" s="105"/>
      <c r="E1412" s="105"/>
      <c r="F1412" s="105"/>
    </row>
    <row r="1413" spans="1:6">
      <c r="A1413"/>
      <c r="B1413" s="223"/>
      <c r="D1413" s="105"/>
      <c r="E1413" s="105"/>
      <c r="F1413" s="105"/>
    </row>
    <row r="1414" spans="1:6">
      <c r="A1414"/>
      <c r="B1414" s="223"/>
      <c r="D1414" s="105"/>
      <c r="E1414" s="105"/>
      <c r="F1414" s="105"/>
    </row>
    <row r="1415" spans="1:6">
      <c r="A1415"/>
      <c r="B1415" s="223"/>
      <c r="D1415" s="105"/>
      <c r="E1415" s="105"/>
      <c r="F1415" s="105"/>
    </row>
    <row r="1416" spans="1:6">
      <c r="A1416"/>
      <c r="B1416" s="223"/>
      <c r="D1416" s="105"/>
      <c r="E1416" s="105"/>
      <c r="F1416" s="105"/>
    </row>
    <row r="1417" spans="1:6">
      <c r="A1417"/>
      <c r="B1417" s="223"/>
      <c r="D1417" s="105"/>
      <c r="E1417" s="105"/>
      <c r="F1417" s="105"/>
    </row>
    <row r="1418" spans="1:6">
      <c r="A1418"/>
      <c r="B1418" s="223"/>
      <c r="D1418" s="105"/>
      <c r="E1418" s="105"/>
      <c r="F1418" s="105"/>
    </row>
    <row r="1419" spans="1:6">
      <c r="A1419"/>
      <c r="B1419" s="223"/>
      <c r="D1419" s="105"/>
      <c r="E1419" s="105"/>
      <c r="F1419" s="105"/>
    </row>
    <row r="1420" spans="1:6">
      <c r="A1420"/>
      <c r="B1420" s="223"/>
      <c r="D1420" s="105"/>
      <c r="E1420" s="105"/>
      <c r="F1420" s="105"/>
    </row>
    <row r="1421" spans="1:6">
      <c r="A1421"/>
      <c r="B1421" s="223"/>
      <c r="D1421" s="105"/>
      <c r="E1421" s="105"/>
      <c r="F1421" s="105"/>
    </row>
    <row r="1422" spans="1:6">
      <c r="A1422"/>
      <c r="B1422" s="223"/>
      <c r="D1422" s="105"/>
      <c r="E1422" s="105"/>
      <c r="F1422" s="105"/>
    </row>
    <row r="1423" spans="1:6">
      <c r="A1423"/>
      <c r="B1423" s="223"/>
      <c r="D1423" s="105"/>
      <c r="E1423" s="105"/>
      <c r="F1423" s="105"/>
    </row>
    <row r="1424" spans="1:6">
      <c r="A1424"/>
      <c r="B1424" s="223"/>
      <c r="D1424" s="105"/>
      <c r="E1424" s="105"/>
      <c r="F1424" s="105"/>
    </row>
    <row r="1425" spans="1:6">
      <c r="A1425"/>
      <c r="B1425" s="223"/>
      <c r="D1425" s="105"/>
      <c r="E1425" s="105"/>
      <c r="F1425" s="105"/>
    </row>
    <row r="1426" spans="1:6">
      <c r="A1426"/>
      <c r="B1426" s="223"/>
      <c r="D1426" s="105"/>
      <c r="E1426" s="105"/>
      <c r="F1426" s="105"/>
    </row>
    <row r="1427" spans="1:6">
      <c r="A1427"/>
      <c r="B1427" s="223"/>
      <c r="D1427" s="105"/>
      <c r="E1427" s="105"/>
      <c r="F1427" s="105"/>
    </row>
    <row r="1428" spans="1:6">
      <c r="A1428"/>
      <c r="B1428" s="223"/>
      <c r="D1428" s="105"/>
      <c r="E1428" s="105"/>
      <c r="F1428" s="105"/>
    </row>
    <row r="1429" spans="1:6">
      <c r="A1429"/>
      <c r="B1429" s="223"/>
      <c r="D1429" s="105"/>
      <c r="E1429" s="105"/>
      <c r="F1429" s="105"/>
    </row>
    <row r="1430" spans="1:6">
      <c r="A1430"/>
      <c r="B1430" s="223"/>
      <c r="D1430" s="105"/>
      <c r="E1430" s="105"/>
      <c r="F1430" s="105"/>
    </row>
    <row r="1431" spans="1:6">
      <c r="A1431"/>
      <c r="B1431" s="223"/>
      <c r="D1431" s="105"/>
      <c r="E1431" s="105"/>
      <c r="F1431" s="105"/>
    </row>
    <row r="1432" spans="1:6">
      <c r="A1432"/>
      <c r="B1432" s="223"/>
      <c r="D1432" s="105"/>
      <c r="E1432" s="105"/>
      <c r="F1432" s="105"/>
    </row>
    <row r="1433" spans="1:6">
      <c r="A1433"/>
      <c r="B1433" s="223"/>
      <c r="D1433" s="105"/>
      <c r="E1433" s="105"/>
      <c r="F1433" s="105"/>
    </row>
    <row r="1434" spans="1:6">
      <c r="A1434"/>
      <c r="B1434" s="223"/>
      <c r="D1434" s="105"/>
      <c r="E1434" s="105"/>
      <c r="F1434" s="105"/>
    </row>
    <row r="1435" spans="1:6">
      <c r="A1435"/>
      <c r="B1435" s="223"/>
      <c r="D1435" s="105"/>
      <c r="E1435" s="105"/>
      <c r="F1435" s="105"/>
    </row>
    <row r="1436" spans="1:6">
      <c r="A1436"/>
      <c r="B1436" s="223"/>
      <c r="D1436" s="105"/>
      <c r="E1436" s="105"/>
      <c r="F1436" s="105"/>
    </row>
    <row r="1437" spans="1:6">
      <c r="A1437"/>
      <c r="B1437" s="223"/>
      <c r="D1437" s="105"/>
      <c r="E1437" s="105"/>
      <c r="F1437" s="105"/>
    </row>
    <row r="1438" spans="1:6">
      <c r="A1438"/>
      <c r="B1438" s="223"/>
      <c r="D1438" s="105"/>
      <c r="E1438" s="105"/>
      <c r="F1438" s="105"/>
    </row>
    <row r="1439" spans="1:6">
      <c r="A1439"/>
      <c r="B1439" s="223"/>
      <c r="D1439" s="105"/>
      <c r="E1439" s="105"/>
      <c r="F1439" s="105"/>
    </row>
    <row r="1440" spans="1:6">
      <c r="A1440"/>
      <c r="B1440" s="223"/>
      <c r="D1440" s="105"/>
      <c r="E1440" s="105"/>
      <c r="F1440" s="105"/>
    </row>
    <row r="1441" spans="1:6">
      <c r="A1441"/>
      <c r="B1441" s="223"/>
      <c r="D1441" s="105"/>
      <c r="E1441" s="105"/>
      <c r="F1441" s="105"/>
    </row>
    <row r="1442" spans="1:6">
      <c r="A1442"/>
      <c r="B1442" s="223"/>
      <c r="D1442" s="105"/>
      <c r="E1442" s="105"/>
      <c r="F1442" s="105"/>
    </row>
    <row r="1443" spans="1:6">
      <c r="A1443"/>
      <c r="B1443" s="223"/>
      <c r="D1443" s="105"/>
      <c r="E1443" s="105"/>
      <c r="F1443" s="105"/>
    </row>
    <row r="1444" spans="1:6">
      <c r="A1444"/>
      <c r="B1444" s="223"/>
      <c r="D1444" s="105"/>
      <c r="E1444" s="105"/>
      <c r="F1444" s="105"/>
    </row>
    <row r="1445" spans="1:6">
      <c r="A1445"/>
      <c r="B1445" s="223"/>
      <c r="D1445" s="105"/>
      <c r="E1445" s="105"/>
      <c r="F1445" s="105"/>
    </row>
    <row r="1446" spans="1:6">
      <c r="A1446"/>
      <c r="B1446" s="223"/>
      <c r="D1446" s="105"/>
      <c r="E1446" s="105"/>
      <c r="F1446" s="105"/>
    </row>
    <row r="1447" spans="1:6">
      <c r="A1447"/>
      <c r="B1447" s="223"/>
      <c r="D1447" s="105"/>
      <c r="E1447" s="105"/>
      <c r="F1447" s="105"/>
    </row>
    <row r="1448" spans="1:6">
      <c r="A1448"/>
      <c r="B1448" s="223"/>
      <c r="D1448" s="105"/>
      <c r="E1448" s="105"/>
      <c r="F1448" s="105"/>
    </row>
    <row r="1449" spans="1:6">
      <c r="A1449"/>
      <c r="B1449" s="223"/>
      <c r="D1449" s="105"/>
      <c r="E1449" s="105"/>
      <c r="F1449" s="105"/>
    </row>
    <row r="1450" spans="1:6">
      <c r="A1450"/>
      <c r="B1450" s="223"/>
      <c r="D1450" s="105"/>
      <c r="E1450" s="105"/>
      <c r="F1450" s="105"/>
    </row>
    <row r="1451" spans="1:6">
      <c r="A1451"/>
      <c r="B1451" s="223"/>
      <c r="D1451" s="105"/>
      <c r="E1451" s="105"/>
      <c r="F1451" s="105"/>
    </row>
    <row r="1452" spans="1:6">
      <c r="A1452"/>
      <c r="B1452" s="223"/>
      <c r="D1452" s="105"/>
      <c r="E1452" s="105"/>
      <c r="F1452" s="105"/>
    </row>
    <row r="1453" spans="1:6">
      <c r="A1453"/>
      <c r="B1453" s="223"/>
      <c r="D1453" s="105"/>
      <c r="E1453" s="105"/>
      <c r="F1453" s="105"/>
    </row>
    <row r="1454" spans="1:6">
      <c r="A1454"/>
      <c r="B1454" s="223"/>
      <c r="D1454" s="105"/>
      <c r="E1454" s="105"/>
      <c r="F1454" s="105"/>
    </row>
    <row r="1455" spans="1:6">
      <c r="A1455"/>
      <c r="B1455" s="223"/>
      <c r="D1455" s="105"/>
      <c r="E1455" s="105"/>
      <c r="F1455" s="105"/>
    </row>
    <row r="1456" spans="1:6">
      <c r="A1456"/>
      <c r="B1456" s="223"/>
      <c r="D1456" s="105"/>
      <c r="E1456" s="105"/>
      <c r="F1456" s="105"/>
    </row>
    <row r="1457" spans="1:6">
      <c r="A1457"/>
      <c r="B1457" s="223"/>
      <c r="D1457" s="105"/>
      <c r="E1457" s="105"/>
      <c r="F1457" s="105"/>
    </row>
    <row r="1458" spans="1:6">
      <c r="A1458"/>
      <c r="B1458" s="223"/>
      <c r="D1458" s="105"/>
      <c r="E1458" s="105"/>
      <c r="F1458" s="105"/>
    </row>
    <row r="1459" spans="1:6">
      <c r="A1459"/>
      <c r="B1459" s="223"/>
      <c r="D1459" s="105"/>
      <c r="E1459" s="105"/>
      <c r="F1459" s="105"/>
    </row>
    <row r="1460" spans="1:6">
      <c r="A1460"/>
      <c r="B1460" s="223"/>
      <c r="D1460" s="105"/>
      <c r="E1460" s="105"/>
      <c r="F1460" s="105"/>
    </row>
    <row r="1461" spans="1:6">
      <c r="A1461"/>
      <c r="B1461" s="223"/>
      <c r="D1461" s="105"/>
      <c r="E1461" s="105"/>
      <c r="F1461" s="105"/>
    </row>
    <row r="1462" spans="1:6">
      <c r="A1462"/>
      <c r="B1462" s="223"/>
      <c r="D1462" s="105"/>
      <c r="E1462" s="105"/>
      <c r="F1462" s="105"/>
    </row>
    <row r="1463" spans="1:6">
      <c r="A1463"/>
      <c r="B1463" s="223"/>
      <c r="D1463" s="105"/>
      <c r="E1463" s="105"/>
      <c r="F1463" s="105"/>
    </row>
    <row r="1464" spans="1:6">
      <c r="A1464"/>
      <c r="B1464" s="223"/>
      <c r="D1464" s="105"/>
      <c r="E1464" s="105"/>
      <c r="F1464" s="105"/>
    </row>
    <row r="1465" spans="1:6">
      <c r="A1465"/>
      <c r="B1465" s="223"/>
      <c r="D1465" s="105"/>
      <c r="E1465" s="105"/>
      <c r="F1465" s="105"/>
    </row>
    <row r="1466" spans="1:6">
      <c r="A1466"/>
      <c r="B1466" s="223"/>
      <c r="D1466" s="105"/>
      <c r="E1466" s="105"/>
      <c r="F1466" s="105"/>
    </row>
    <row r="1467" spans="1:6">
      <c r="A1467"/>
      <c r="B1467" s="223"/>
      <c r="D1467" s="105"/>
      <c r="E1467" s="105"/>
      <c r="F1467" s="105"/>
    </row>
    <row r="1468" spans="1:6">
      <c r="A1468"/>
      <c r="B1468" s="223"/>
      <c r="D1468" s="105"/>
      <c r="E1468" s="105"/>
      <c r="F1468" s="105"/>
    </row>
    <row r="1469" spans="1:6">
      <c r="A1469"/>
      <c r="B1469" s="223"/>
      <c r="D1469" s="105"/>
      <c r="E1469" s="105"/>
      <c r="F1469" s="105"/>
    </row>
    <row r="1470" spans="1:6">
      <c r="A1470"/>
      <c r="B1470" s="223"/>
      <c r="D1470" s="105"/>
      <c r="E1470" s="105"/>
      <c r="F1470" s="105"/>
    </row>
    <row r="1471" spans="1:6">
      <c r="A1471"/>
      <c r="B1471" s="223"/>
      <c r="D1471" s="105"/>
      <c r="E1471" s="105"/>
      <c r="F1471" s="105"/>
    </row>
    <row r="1472" spans="1:6">
      <c r="A1472"/>
      <c r="B1472" s="223"/>
      <c r="D1472" s="105"/>
      <c r="E1472" s="105"/>
      <c r="F1472" s="105"/>
    </row>
    <row r="1473" spans="1:6">
      <c r="A1473"/>
      <c r="B1473" s="223"/>
      <c r="D1473" s="105"/>
      <c r="E1473" s="105"/>
      <c r="F1473" s="105"/>
    </row>
    <row r="1474" spans="1:6">
      <c r="A1474"/>
      <c r="B1474" s="223"/>
      <c r="D1474" s="105"/>
      <c r="E1474" s="105"/>
      <c r="F1474" s="105"/>
    </row>
    <row r="1475" spans="1:6">
      <c r="A1475"/>
      <c r="B1475" s="223"/>
      <c r="D1475" s="105"/>
      <c r="E1475" s="105"/>
      <c r="F1475" s="105"/>
    </row>
    <row r="1476" spans="1:6">
      <c r="A1476"/>
      <c r="B1476" s="223"/>
      <c r="D1476" s="105"/>
      <c r="E1476" s="105"/>
      <c r="F1476" s="105"/>
    </row>
    <row r="1477" spans="1:6">
      <c r="A1477"/>
      <c r="B1477" s="223"/>
      <c r="D1477" s="105"/>
      <c r="E1477" s="105"/>
      <c r="F1477" s="105"/>
    </row>
    <row r="1478" spans="1:6">
      <c r="A1478"/>
      <c r="B1478" s="223"/>
      <c r="D1478" s="105"/>
      <c r="E1478" s="105"/>
      <c r="F1478" s="105"/>
    </row>
    <row r="1479" spans="1:6">
      <c r="A1479"/>
      <c r="B1479" s="223"/>
      <c r="D1479" s="105"/>
      <c r="E1479" s="105"/>
      <c r="F1479" s="105"/>
    </row>
    <row r="1480" spans="1:6">
      <c r="A1480"/>
      <c r="B1480" s="223"/>
      <c r="D1480" s="105"/>
      <c r="E1480" s="105"/>
      <c r="F1480" s="105"/>
    </row>
    <row r="1481" spans="1:6">
      <c r="A1481"/>
      <c r="B1481" s="223"/>
      <c r="D1481" s="105"/>
      <c r="E1481" s="105"/>
      <c r="F1481" s="105"/>
    </row>
    <row r="1482" spans="1:6">
      <c r="A1482"/>
      <c r="B1482" s="223"/>
      <c r="D1482" s="105"/>
      <c r="E1482" s="105"/>
      <c r="F1482" s="105"/>
    </row>
    <row r="1483" spans="1:6">
      <c r="A1483"/>
      <c r="B1483" s="223"/>
      <c r="D1483" s="105"/>
      <c r="E1483" s="105"/>
      <c r="F1483" s="105"/>
    </row>
    <row r="1484" spans="1:6">
      <c r="A1484"/>
      <c r="B1484" s="223"/>
      <c r="D1484" s="105"/>
      <c r="E1484" s="105"/>
      <c r="F1484" s="105"/>
    </row>
    <row r="1485" spans="1:6">
      <c r="A1485"/>
      <c r="B1485" s="223"/>
      <c r="D1485" s="105"/>
      <c r="E1485" s="105"/>
      <c r="F1485" s="105"/>
    </row>
    <row r="1486" spans="1:6">
      <c r="A1486"/>
      <c r="B1486" s="223"/>
      <c r="D1486" s="105"/>
      <c r="E1486" s="105"/>
      <c r="F1486" s="105"/>
    </row>
    <row r="1487" spans="1:6">
      <c r="A1487"/>
      <c r="B1487" s="223"/>
      <c r="D1487" s="105"/>
      <c r="E1487" s="105"/>
      <c r="F1487" s="105"/>
    </row>
    <row r="1488" spans="1:6">
      <c r="A1488"/>
      <c r="B1488" s="223"/>
      <c r="D1488" s="105"/>
      <c r="E1488" s="105"/>
      <c r="F1488" s="105"/>
    </row>
    <row r="1489" spans="1:6">
      <c r="A1489"/>
      <c r="B1489" s="223"/>
      <c r="D1489" s="105"/>
      <c r="E1489" s="105"/>
      <c r="F1489" s="105"/>
    </row>
    <row r="1490" spans="1:6">
      <c r="A1490"/>
      <c r="B1490" s="223"/>
      <c r="D1490" s="105"/>
      <c r="E1490" s="105"/>
      <c r="F1490" s="105"/>
    </row>
    <row r="1491" spans="1:6">
      <c r="A1491"/>
      <c r="B1491" s="223"/>
      <c r="D1491" s="105"/>
      <c r="E1491" s="105"/>
      <c r="F1491" s="105"/>
    </row>
    <row r="1492" spans="1:6">
      <c r="A1492"/>
      <c r="B1492" s="223"/>
      <c r="D1492" s="105"/>
      <c r="E1492" s="105"/>
      <c r="F1492" s="105"/>
    </row>
    <row r="1493" spans="1:6">
      <c r="A1493"/>
      <c r="B1493" s="223"/>
      <c r="D1493" s="105"/>
      <c r="E1493" s="105"/>
      <c r="F1493" s="105"/>
    </row>
    <row r="1494" spans="1:6">
      <c r="A1494"/>
      <c r="B1494" s="223"/>
      <c r="D1494" s="105"/>
      <c r="E1494" s="105"/>
      <c r="F1494" s="105"/>
    </row>
    <row r="1495" spans="1:6">
      <c r="A1495"/>
      <c r="B1495" s="223"/>
      <c r="D1495" s="105"/>
      <c r="E1495" s="105"/>
      <c r="F1495" s="105"/>
    </row>
    <row r="1496" spans="1:6">
      <c r="A1496"/>
      <c r="B1496" s="223"/>
      <c r="D1496" s="105"/>
      <c r="E1496" s="105"/>
      <c r="F1496" s="105"/>
    </row>
    <row r="1497" spans="1:6">
      <c r="A1497"/>
      <c r="B1497" s="223"/>
      <c r="D1497" s="105"/>
      <c r="E1497" s="105"/>
      <c r="F1497" s="105"/>
    </row>
    <row r="1498" spans="1:6">
      <c r="A1498"/>
      <c r="B1498" s="223"/>
      <c r="D1498" s="105"/>
      <c r="E1498" s="105"/>
      <c r="F1498" s="105"/>
    </row>
    <row r="1499" spans="1:6">
      <c r="A1499"/>
      <c r="B1499" s="223"/>
      <c r="D1499" s="105"/>
      <c r="E1499" s="105"/>
      <c r="F1499" s="105"/>
    </row>
    <row r="1500" spans="1:6">
      <c r="A1500"/>
      <c r="B1500" s="223"/>
      <c r="D1500" s="105"/>
      <c r="E1500" s="105"/>
      <c r="F1500" s="105"/>
    </row>
    <row r="1501" spans="1:6">
      <c r="A1501"/>
      <c r="B1501" s="223"/>
      <c r="D1501" s="105"/>
      <c r="E1501" s="105"/>
      <c r="F1501" s="105"/>
    </row>
    <row r="1502" spans="1:6">
      <c r="A1502"/>
      <c r="B1502" s="223"/>
      <c r="D1502" s="105"/>
      <c r="E1502" s="105"/>
      <c r="F1502" s="105"/>
    </row>
    <row r="1503" spans="1:6">
      <c r="A1503"/>
      <c r="B1503" s="223"/>
      <c r="D1503" s="105"/>
      <c r="E1503" s="105"/>
      <c r="F1503" s="105"/>
    </row>
    <row r="1504" spans="1:6">
      <c r="A1504"/>
      <c r="B1504" s="223"/>
      <c r="D1504" s="105"/>
      <c r="E1504" s="105"/>
      <c r="F1504" s="105"/>
    </row>
    <row r="1505" spans="1:6">
      <c r="A1505"/>
      <c r="B1505" s="223"/>
      <c r="D1505" s="105"/>
      <c r="E1505" s="105"/>
      <c r="F1505" s="105"/>
    </row>
    <row r="1506" spans="1:6">
      <c r="A1506"/>
      <c r="B1506" s="223"/>
      <c r="D1506" s="105"/>
      <c r="E1506" s="105"/>
      <c r="F1506" s="105"/>
    </row>
    <row r="1507" spans="1:6">
      <c r="A1507"/>
      <c r="B1507" s="223"/>
      <c r="D1507" s="105"/>
      <c r="E1507" s="105"/>
      <c r="F1507" s="105"/>
    </row>
    <row r="1508" spans="1:6">
      <c r="A1508"/>
      <c r="B1508" s="223"/>
      <c r="D1508" s="105"/>
      <c r="E1508" s="105"/>
      <c r="F1508" s="105"/>
    </row>
    <row r="1509" spans="1:6">
      <c r="A1509"/>
      <c r="B1509" s="223"/>
      <c r="D1509" s="105"/>
      <c r="E1509" s="105"/>
      <c r="F1509" s="105"/>
    </row>
    <row r="1510" spans="1:6">
      <c r="A1510"/>
      <c r="B1510" s="223"/>
      <c r="D1510" s="105"/>
      <c r="E1510" s="105"/>
      <c r="F1510" s="105"/>
    </row>
    <row r="1511" spans="1:6">
      <c r="A1511"/>
      <c r="B1511" s="223"/>
      <c r="D1511" s="105"/>
      <c r="E1511" s="105"/>
      <c r="F1511" s="105"/>
    </row>
    <row r="1512" spans="1:6">
      <c r="A1512"/>
      <c r="B1512" s="223"/>
      <c r="D1512" s="105"/>
      <c r="E1512" s="105"/>
      <c r="F1512" s="105"/>
    </row>
    <row r="1513" spans="1:6">
      <c r="A1513"/>
      <c r="B1513" s="223"/>
      <c r="D1513" s="105"/>
      <c r="E1513" s="105"/>
      <c r="F1513" s="105"/>
    </row>
    <row r="1514" spans="1:6">
      <c r="A1514"/>
      <c r="B1514" s="223"/>
      <c r="D1514" s="105"/>
      <c r="E1514" s="105"/>
      <c r="F1514" s="105"/>
    </row>
    <row r="1515" spans="1:6">
      <c r="A1515"/>
      <c r="B1515" s="223"/>
      <c r="D1515" s="105"/>
      <c r="E1515" s="105"/>
      <c r="F1515" s="105"/>
    </row>
    <row r="1516" spans="1:6">
      <c r="A1516"/>
      <c r="B1516" s="223"/>
      <c r="D1516" s="105"/>
      <c r="E1516" s="105"/>
      <c r="F1516" s="105"/>
    </row>
    <row r="1517" spans="1:6">
      <c r="A1517"/>
      <c r="B1517" s="223"/>
      <c r="D1517" s="105"/>
      <c r="E1517" s="105"/>
      <c r="F1517" s="105"/>
    </row>
    <row r="1518" spans="1:6">
      <c r="A1518"/>
      <c r="B1518" s="223"/>
      <c r="D1518" s="105"/>
      <c r="E1518" s="105"/>
      <c r="F1518" s="105"/>
    </row>
    <row r="1519" spans="1:6">
      <c r="A1519"/>
      <c r="B1519" s="223"/>
      <c r="D1519" s="105"/>
      <c r="E1519" s="105"/>
      <c r="F1519" s="105"/>
    </row>
    <row r="1520" spans="1:6">
      <c r="A1520"/>
      <c r="B1520" s="223"/>
      <c r="D1520" s="105"/>
      <c r="E1520" s="105"/>
      <c r="F1520" s="105"/>
    </row>
    <row r="1521" spans="1:6">
      <c r="A1521"/>
      <c r="B1521" s="223"/>
      <c r="D1521" s="105"/>
      <c r="E1521" s="105"/>
      <c r="F1521" s="105"/>
    </row>
    <row r="1522" spans="1:6">
      <c r="A1522"/>
      <c r="B1522" s="223"/>
      <c r="D1522" s="105"/>
      <c r="E1522" s="105"/>
      <c r="F1522" s="105"/>
    </row>
    <row r="1523" spans="1:6">
      <c r="A1523"/>
      <c r="B1523" s="223"/>
      <c r="D1523" s="105"/>
      <c r="E1523" s="105"/>
      <c r="F1523" s="105"/>
    </row>
    <row r="1524" spans="1:6">
      <c r="A1524"/>
      <c r="B1524" s="223"/>
      <c r="D1524" s="105"/>
      <c r="E1524" s="105"/>
      <c r="F1524" s="105"/>
    </row>
    <row r="1525" spans="1:6">
      <c r="A1525"/>
      <c r="B1525" s="223"/>
      <c r="D1525" s="105"/>
      <c r="E1525" s="105"/>
      <c r="F1525" s="105"/>
    </row>
    <row r="1526" spans="1:6">
      <c r="A1526"/>
      <c r="B1526" s="223"/>
      <c r="D1526" s="105"/>
      <c r="E1526" s="105"/>
      <c r="F1526" s="105"/>
    </row>
    <row r="1527" spans="1:6">
      <c r="A1527"/>
      <c r="B1527" s="223"/>
      <c r="D1527" s="105"/>
      <c r="E1527" s="105"/>
      <c r="F1527" s="105"/>
    </row>
    <row r="1528" spans="1:6">
      <c r="A1528"/>
      <c r="B1528" s="223"/>
      <c r="D1528" s="105"/>
      <c r="E1528" s="105"/>
      <c r="F1528" s="105"/>
    </row>
    <row r="1529" spans="1:6">
      <c r="A1529"/>
      <c r="B1529" s="223"/>
      <c r="D1529" s="105"/>
      <c r="E1529" s="105"/>
      <c r="F1529" s="105"/>
    </row>
    <row r="1530" spans="1:6">
      <c r="A1530"/>
      <c r="B1530" s="223"/>
      <c r="D1530" s="105"/>
      <c r="E1530" s="105"/>
      <c r="F1530" s="105"/>
    </row>
    <row r="1531" spans="1:6">
      <c r="A1531"/>
      <c r="B1531" s="223"/>
      <c r="D1531" s="105"/>
      <c r="E1531" s="105"/>
      <c r="F1531" s="105"/>
    </row>
    <row r="1532" spans="1:6">
      <c r="A1532"/>
      <c r="B1532" s="223"/>
      <c r="D1532" s="105"/>
      <c r="E1532" s="105"/>
      <c r="F1532" s="105"/>
    </row>
    <row r="1533" spans="1:6">
      <c r="A1533"/>
      <c r="B1533" s="223"/>
      <c r="D1533" s="105"/>
      <c r="E1533" s="105"/>
      <c r="F1533" s="105"/>
    </row>
    <row r="1534" spans="1:6">
      <c r="A1534"/>
      <c r="B1534" s="223"/>
      <c r="D1534" s="105"/>
      <c r="E1534" s="105"/>
      <c r="F1534" s="105"/>
    </row>
    <row r="1535" spans="1:6">
      <c r="A1535"/>
      <c r="B1535" s="223"/>
      <c r="D1535" s="105"/>
      <c r="E1535" s="105"/>
      <c r="F1535" s="105"/>
    </row>
    <row r="1536" spans="1:6">
      <c r="A1536"/>
      <c r="B1536" s="223"/>
      <c r="D1536" s="105"/>
      <c r="E1536" s="105"/>
      <c r="F1536" s="105"/>
    </row>
    <row r="1537" spans="1:6">
      <c r="A1537"/>
      <c r="B1537" s="223"/>
      <c r="D1537" s="105"/>
      <c r="E1537" s="105"/>
      <c r="F1537" s="105"/>
    </row>
    <row r="1538" spans="1:6">
      <c r="A1538"/>
      <c r="B1538" s="223"/>
      <c r="D1538" s="105"/>
      <c r="E1538" s="105"/>
      <c r="F1538" s="105"/>
    </row>
    <row r="1539" spans="1:6">
      <c r="A1539"/>
      <c r="B1539" s="223"/>
      <c r="D1539" s="105"/>
      <c r="E1539" s="105"/>
      <c r="F1539" s="105"/>
    </row>
    <row r="1540" spans="1:6">
      <c r="A1540"/>
      <c r="B1540" s="223"/>
      <c r="D1540" s="105"/>
      <c r="E1540" s="105"/>
      <c r="F1540" s="105"/>
    </row>
    <row r="1541" spans="1:6">
      <c r="A1541"/>
      <c r="B1541" s="223"/>
      <c r="D1541" s="105"/>
      <c r="E1541" s="105"/>
      <c r="F1541" s="105"/>
    </row>
    <row r="1542" spans="1:6">
      <c r="A1542"/>
      <c r="B1542" s="223"/>
      <c r="D1542" s="105"/>
      <c r="E1542" s="105"/>
      <c r="F1542" s="105"/>
    </row>
    <row r="1543" spans="1:6">
      <c r="A1543"/>
      <c r="B1543" s="223"/>
      <c r="D1543" s="105"/>
      <c r="E1543" s="105"/>
      <c r="F1543" s="105"/>
    </row>
    <row r="1544" spans="1:6">
      <c r="A1544"/>
      <c r="B1544" s="223"/>
      <c r="D1544" s="105"/>
      <c r="E1544" s="105"/>
      <c r="F1544" s="105"/>
    </row>
    <row r="1545" spans="1:6">
      <c r="A1545"/>
      <c r="B1545" s="223"/>
      <c r="D1545" s="105"/>
      <c r="E1545" s="105"/>
      <c r="F1545" s="105"/>
    </row>
    <row r="1546" spans="1:6">
      <c r="A1546"/>
      <c r="B1546" s="223"/>
      <c r="D1546" s="105"/>
      <c r="E1546" s="105"/>
      <c r="F1546" s="105"/>
    </row>
    <row r="1547" spans="1:6">
      <c r="A1547"/>
      <c r="B1547" s="223"/>
      <c r="D1547" s="105"/>
      <c r="E1547" s="105"/>
      <c r="F1547" s="105"/>
    </row>
    <row r="1548" spans="1:6">
      <c r="A1548"/>
      <c r="B1548" s="223"/>
      <c r="D1548" s="105"/>
      <c r="E1548" s="105"/>
      <c r="F1548" s="105"/>
    </row>
    <row r="1549" spans="1:6">
      <c r="A1549"/>
      <c r="B1549" s="223"/>
      <c r="D1549" s="105"/>
      <c r="E1549" s="105"/>
      <c r="F1549" s="105"/>
    </row>
    <row r="1550" spans="1:6">
      <c r="A1550"/>
      <c r="B1550" s="223"/>
      <c r="D1550" s="105"/>
      <c r="E1550" s="105"/>
      <c r="F1550" s="105"/>
    </row>
    <row r="1551" spans="1:6">
      <c r="A1551"/>
      <c r="B1551" s="223"/>
      <c r="D1551" s="105"/>
      <c r="E1551" s="105"/>
      <c r="F1551" s="105"/>
    </row>
    <row r="1552" spans="1:6">
      <c r="A1552"/>
      <c r="B1552" s="223"/>
      <c r="D1552" s="105"/>
      <c r="E1552" s="105"/>
      <c r="F1552" s="105"/>
    </row>
    <row r="1553" spans="1:6">
      <c r="A1553"/>
      <c r="B1553" s="223"/>
      <c r="D1553" s="105"/>
      <c r="E1553" s="105"/>
      <c r="F1553" s="105"/>
    </row>
    <row r="1554" spans="1:6">
      <c r="A1554"/>
      <c r="B1554" s="223"/>
      <c r="D1554" s="105"/>
      <c r="E1554" s="105"/>
      <c r="F1554" s="105"/>
    </row>
    <row r="1555" spans="1:6">
      <c r="A1555"/>
      <c r="B1555" s="223"/>
      <c r="D1555" s="105"/>
      <c r="E1555" s="105"/>
      <c r="F1555" s="105"/>
    </row>
    <row r="1556" spans="1:6">
      <c r="A1556"/>
      <c r="B1556" s="223"/>
      <c r="D1556" s="105"/>
      <c r="E1556" s="105"/>
      <c r="F1556" s="105"/>
    </row>
    <row r="1557" spans="1:6">
      <c r="A1557"/>
      <c r="B1557" s="223"/>
      <c r="D1557" s="105"/>
      <c r="E1557" s="105"/>
      <c r="F1557" s="105"/>
    </row>
    <row r="1558" spans="1:6">
      <c r="A1558"/>
      <c r="B1558" s="223"/>
      <c r="D1558" s="105"/>
      <c r="E1558" s="105"/>
      <c r="F1558" s="105"/>
    </row>
    <row r="1559" spans="1:6">
      <c r="A1559"/>
      <c r="B1559" s="223"/>
      <c r="D1559" s="105"/>
      <c r="E1559" s="105"/>
      <c r="F1559" s="105"/>
    </row>
    <row r="1560" spans="1:6">
      <c r="A1560"/>
      <c r="B1560" s="223"/>
      <c r="D1560" s="105"/>
      <c r="E1560" s="105"/>
      <c r="F1560" s="105"/>
    </row>
    <row r="1561" spans="1:6">
      <c r="A1561"/>
      <c r="B1561" s="223"/>
      <c r="D1561" s="105"/>
      <c r="E1561" s="105"/>
      <c r="F1561" s="105"/>
    </row>
    <row r="1562" spans="1:6">
      <c r="A1562"/>
      <c r="B1562" s="223"/>
      <c r="D1562" s="105"/>
      <c r="E1562" s="105"/>
      <c r="F1562" s="105"/>
    </row>
    <row r="1563" spans="1:6">
      <c r="A1563"/>
      <c r="B1563" s="223"/>
      <c r="D1563" s="105"/>
      <c r="E1563" s="105"/>
      <c r="F1563" s="105"/>
    </row>
    <row r="1564" spans="1:6">
      <c r="A1564"/>
      <c r="B1564" s="223"/>
      <c r="D1564" s="105"/>
      <c r="E1564" s="105"/>
      <c r="F1564" s="105"/>
    </row>
    <row r="1565" spans="1:6">
      <c r="A1565"/>
      <c r="B1565" s="223"/>
      <c r="D1565" s="105"/>
      <c r="E1565" s="105"/>
      <c r="F1565" s="105"/>
    </row>
    <row r="1566" spans="1:6">
      <c r="A1566"/>
      <c r="B1566" s="223"/>
      <c r="D1566" s="105"/>
      <c r="E1566" s="105"/>
      <c r="F1566" s="105"/>
    </row>
    <row r="1567" spans="1:6">
      <c r="A1567"/>
      <c r="B1567" s="223"/>
      <c r="D1567" s="105"/>
      <c r="E1567" s="105"/>
      <c r="F1567" s="105"/>
    </row>
    <row r="1568" spans="1:6">
      <c r="A1568"/>
      <c r="B1568" s="223"/>
      <c r="D1568" s="105"/>
      <c r="E1568" s="105"/>
      <c r="F1568" s="105"/>
    </row>
    <row r="1569" spans="1:6">
      <c r="A1569"/>
      <c r="B1569" s="223"/>
      <c r="D1569" s="105"/>
      <c r="E1569" s="105"/>
      <c r="F1569" s="105"/>
    </row>
    <row r="1570" spans="1:6">
      <c r="A1570"/>
      <c r="B1570" s="223"/>
      <c r="D1570" s="105"/>
      <c r="E1570" s="105"/>
      <c r="F1570" s="105"/>
    </row>
    <row r="1571" spans="1:6">
      <c r="A1571"/>
      <c r="B1571" s="223"/>
      <c r="D1571" s="105"/>
      <c r="E1571" s="105"/>
      <c r="F1571" s="105"/>
    </row>
    <row r="1572" spans="1:6">
      <c r="A1572"/>
      <c r="B1572" s="223"/>
      <c r="D1572" s="105"/>
      <c r="E1572" s="105"/>
      <c r="F1572" s="105"/>
    </row>
    <row r="1573" spans="1:6">
      <c r="A1573"/>
      <c r="B1573" s="223"/>
      <c r="D1573" s="105"/>
      <c r="E1573" s="105"/>
      <c r="F1573" s="105"/>
    </row>
    <row r="1574" spans="1:6">
      <c r="A1574"/>
      <c r="B1574" s="223"/>
      <c r="D1574" s="105"/>
      <c r="E1574" s="105"/>
      <c r="F1574" s="105"/>
    </row>
    <row r="1575" spans="1:6">
      <c r="A1575"/>
      <c r="B1575" s="223"/>
      <c r="D1575" s="105"/>
      <c r="E1575" s="105"/>
      <c r="F1575" s="105"/>
    </row>
    <row r="1576" spans="1:6">
      <c r="A1576"/>
      <c r="B1576" s="223"/>
      <c r="D1576" s="105"/>
      <c r="E1576" s="105"/>
      <c r="F1576" s="105"/>
    </row>
    <row r="1577" spans="1:6">
      <c r="A1577"/>
      <c r="B1577" s="223"/>
      <c r="D1577" s="105"/>
      <c r="E1577" s="105"/>
      <c r="F1577" s="105"/>
    </row>
    <row r="1578" spans="1:6">
      <c r="A1578"/>
      <c r="B1578" s="223"/>
      <c r="D1578" s="105"/>
      <c r="E1578" s="105"/>
      <c r="F1578" s="105"/>
    </row>
    <row r="1579" spans="1:6">
      <c r="A1579"/>
      <c r="B1579" s="223"/>
      <c r="D1579" s="105"/>
      <c r="E1579" s="105"/>
      <c r="F1579" s="105"/>
    </row>
    <row r="1580" spans="1:6">
      <c r="A1580"/>
      <c r="B1580" s="223"/>
      <c r="D1580" s="105"/>
      <c r="E1580" s="105"/>
      <c r="F1580" s="105"/>
    </row>
    <row r="1581" spans="1:6">
      <c r="A1581"/>
      <c r="B1581" s="223"/>
      <c r="D1581" s="105"/>
      <c r="E1581" s="105"/>
      <c r="F1581" s="105"/>
    </row>
    <row r="1582" spans="1:6">
      <c r="A1582"/>
      <c r="B1582" s="223"/>
      <c r="D1582" s="105"/>
      <c r="E1582" s="105"/>
      <c r="F1582" s="105"/>
    </row>
    <row r="1583" spans="1:6">
      <c r="A1583"/>
      <c r="B1583" s="223"/>
      <c r="D1583" s="105"/>
      <c r="E1583" s="105"/>
      <c r="F1583" s="105"/>
    </row>
    <row r="1584" spans="1:6">
      <c r="A1584"/>
      <c r="B1584" s="223"/>
      <c r="D1584" s="105"/>
      <c r="E1584" s="105"/>
      <c r="F1584" s="105"/>
    </row>
    <row r="1585" spans="1:6">
      <c r="A1585"/>
      <c r="B1585" s="223"/>
      <c r="D1585" s="105"/>
      <c r="E1585" s="105"/>
      <c r="F1585" s="105"/>
    </row>
    <row r="1586" spans="1:6">
      <c r="A1586"/>
      <c r="B1586" s="223"/>
      <c r="D1586" s="105"/>
      <c r="E1586" s="105"/>
      <c r="F1586" s="105"/>
    </row>
    <row r="1587" spans="1:6">
      <c r="A1587"/>
      <c r="B1587" s="223"/>
      <c r="D1587" s="105"/>
      <c r="E1587" s="105"/>
      <c r="F1587" s="105"/>
    </row>
    <row r="1588" spans="1:6">
      <c r="A1588"/>
      <c r="B1588" s="223"/>
      <c r="D1588" s="105"/>
      <c r="E1588" s="105"/>
      <c r="F1588" s="105"/>
    </row>
    <row r="1589" spans="1:6">
      <c r="A1589"/>
      <c r="B1589" s="223"/>
      <c r="D1589" s="105"/>
      <c r="E1589" s="105"/>
      <c r="F1589" s="105"/>
    </row>
    <row r="1590" spans="1:6">
      <c r="A1590"/>
      <c r="B1590" s="223"/>
      <c r="D1590" s="105"/>
      <c r="E1590" s="105"/>
      <c r="F1590" s="105"/>
    </row>
    <row r="1591" spans="1:6">
      <c r="A1591"/>
      <c r="B1591" s="223"/>
      <c r="D1591" s="105"/>
      <c r="E1591" s="105"/>
      <c r="F1591" s="105"/>
    </row>
    <row r="1592" spans="1:6">
      <c r="A1592"/>
      <c r="B1592" s="223"/>
      <c r="D1592" s="105"/>
      <c r="E1592" s="105"/>
      <c r="F1592" s="105"/>
    </row>
    <row r="1593" spans="1:6">
      <c r="A1593"/>
      <c r="B1593" s="223"/>
      <c r="D1593" s="105"/>
      <c r="E1593" s="105"/>
      <c r="F1593" s="105"/>
    </row>
    <row r="1594" spans="1:6">
      <c r="A1594"/>
      <c r="B1594" s="223"/>
      <c r="D1594" s="105"/>
      <c r="E1594" s="105"/>
      <c r="F1594" s="105"/>
    </row>
    <row r="1595" spans="1:6">
      <c r="A1595"/>
      <c r="B1595" s="223"/>
      <c r="D1595" s="105"/>
      <c r="E1595" s="105"/>
      <c r="F1595" s="105"/>
    </row>
    <row r="1596" spans="1:6">
      <c r="A1596"/>
      <c r="B1596" s="223"/>
      <c r="D1596" s="105"/>
      <c r="E1596" s="105"/>
      <c r="F1596" s="105"/>
    </row>
    <row r="1597" spans="1:6">
      <c r="A1597"/>
      <c r="B1597" s="223"/>
      <c r="D1597" s="105"/>
      <c r="E1597" s="105"/>
      <c r="F1597" s="105"/>
    </row>
    <row r="1598" spans="1:6">
      <c r="A1598"/>
      <c r="B1598" s="223"/>
      <c r="D1598" s="105"/>
      <c r="E1598" s="105"/>
      <c r="F1598" s="105"/>
    </row>
    <row r="1599" spans="1:6">
      <c r="A1599"/>
      <c r="B1599" s="223"/>
      <c r="D1599" s="105"/>
      <c r="E1599" s="105"/>
      <c r="F1599" s="105"/>
    </row>
    <row r="1600" spans="1:6">
      <c r="A1600"/>
      <c r="B1600" s="223"/>
      <c r="D1600" s="105"/>
      <c r="E1600" s="105"/>
      <c r="F1600" s="105"/>
    </row>
    <row r="1601" spans="1:6">
      <c r="A1601"/>
      <c r="B1601" s="223"/>
      <c r="D1601" s="105"/>
      <c r="E1601" s="105"/>
      <c r="F1601" s="105"/>
    </row>
    <row r="1602" spans="1:6">
      <c r="A1602"/>
      <c r="B1602" s="223"/>
      <c r="D1602" s="105"/>
      <c r="E1602" s="105"/>
      <c r="F1602" s="105"/>
    </row>
    <row r="1603" spans="1:6">
      <c r="A1603"/>
      <c r="B1603" s="223"/>
      <c r="D1603" s="105"/>
      <c r="E1603" s="105"/>
      <c r="F1603" s="105"/>
    </row>
    <row r="1604" spans="1:6">
      <c r="A1604"/>
      <c r="B1604" s="223"/>
      <c r="D1604" s="105"/>
      <c r="E1604" s="105"/>
      <c r="F1604" s="105"/>
    </row>
    <row r="1605" spans="1:6">
      <c r="A1605"/>
      <c r="B1605" s="223"/>
      <c r="D1605" s="105"/>
      <c r="E1605" s="105"/>
      <c r="F1605" s="105"/>
    </row>
    <row r="1606" spans="1:6">
      <c r="A1606"/>
      <c r="B1606" s="223"/>
      <c r="D1606" s="105"/>
      <c r="E1606" s="105"/>
      <c r="F1606" s="105"/>
    </row>
    <row r="1607" spans="1:6">
      <c r="A1607"/>
      <c r="B1607" s="223"/>
      <c r="D1607" s="105"/>
      <c r="E1607" s="105"/>
      <c r="F1607" s="105"/>
    </row>
    <row r="1608" spans="1:6">
      <c r="A1608"/>
      <c r="B1608" s="223"/>
      <c r="D1608" s="105"/>
      <c r="E1608" s="105"/>
      <c r="F1608" s="105"/>
    </row>
    <row r="1609" spans="1:6">
      <c r="A1609"/>
      <c r="B1609" s="223"/>
      <c r="D1609" s="105"/>
      <c r="E1609" s="105"/>
      <c r="F1609" s="105"/>
    </row>
    <row r="1610" spans="1:6">
      <c r="A1610"/>
      <c r="B1610" s="223"/>
      <c r="D1610" s="105"/>
      <c r="E1610" s="105"/>
      <c r="F1610" s="105"/>
    </row>
    <row r="1611" spans="1:6">
      <c r="A1611"/>
      <c r="B1611" s="223"/>
      <c r="D1611" s="105"/>
      <c r="E1611" s="105"/>
      <c r="F1611" s="105"/>
    </row>
    <row r="1612" spans="1:6">
      <c r="A1612"/>
      <c r="B1612" s="223"/>
      <c r="D1612" s="105"/>
      <c r="E1612" s="105"/>
      <c r="F1612" s="105"/>
    </row>
    <row r="1613" spans="1:6">
      <c r="A1613"/>
      <c r="B1613" s="223"/>
      <c r="D1613" s="105"/>
      <c r="E1613" s="105"/>
      <c r="F1613" s="105"/>
    </row>
    <row r="1614" spans="1:6">
      <c r="A1614"/>
      <c r="B1614" s="223"/>
      <c r="D1614" s="105"/>
      <c r="E1614" s="105"/>
      <c r="F1614" s="105"/>
    </row>
    <row r="1615" spans="1:6">
      <c r="A1615"/>
      <c r="B1615" s="223"/>
      <c r="D1615" s="105"/>
      <c r="E1615" s="105"/>
      <c r="F1615" s="105"/>
    </row>
    <row r="1616" spans="1:6">
      <c r="A1616"/>
      <c r="B1616" s="223"/>
      <c r="D1616" s="105"/>
      <c r="E1616" s="105"/>
      <c r="F1616" s="105"/>
    </row>
    <row r="1617" spans="1:6">
      <c r="A1617"/>
      <c r="B1617" s="223"/>
      <c r="D1617" s="105"/>
      <c r="E1617" s="105"/>
      <c r="F1617" s="105"/>
    </row>
    <row r="1618" spans="1:6">
      <c r="A1618"/>
      <c r="B1618" s="223"/>
      <c r="D1618" s="105"/>
      <c r="E1618" s="105"/>
      <c r="F1618" s="105"/>
    </row>
    <row r="1619" spans="1:6">
      <c r="A1619"/>
      <c r="B1619" s="223"/>
      <c r="D1619" s="105"/>
      <c r="E1619" s="105"/>
      <c r="F1619" s="105"/>
    </row>
    <row r="1620" spans="1:6">
      <c r="A1620"/>
      <c r="B1620" s="223"/>
      <c r="D1620" s="105"/>
      <c r="E1620" s="105"/>
      <c r="F1620" s="105"/>
    </row>
    <row r="1621" spans="1:6">
      <c r="A1621"/>
      <c r="B1621" s="223"/>
      <c r="D1621" s="105"/>
      <c r="E1621" s="105"/>
      <c r="F1621" s="105"/>
    </row>
    <row r="1622" spans="1:6">
      <c r="A1622"/>
      <c r="B1622" s="223"/>
      <c r="D1622" s="105"/>
      <c r="E1622" s="105"/>
      <c r="F1622" s="105"/>
    </row>
    <row r="1623" spans="1:6">
      <c r="A1623"/>
      <c r="B1623" s="223"/>
      <c r="D1623" s="105"/>
      <c r="E1623" s="105"/>
      <c r="F1623" s="105"/>
    </row>
    <row r="1624" spans="1:6">
      <c r="A1624"/>
      <c r="B1624" s="223"/>
      <c r="D1624" s="105"/>
      <c r="E1624" s="105"/>
      <c r="F1624" s="105"/>
    </row>
    <row r="1625" spans="1:6">
      <c r="A1625"/>
      <c r="B1625" s="223"/>
      <c r="D1625" s="105"/>
      <c r="E1625" s="105"/>
      <c r="F1625" s="105"/>
    </row>
    <row r="1626" spans="1:6">
      <c r="A1626"/>
      <c r="B1626" s="223"/>
      <c r="D1626" s="105"/>
      <c r="E1626" s="105"/>
      <c r="F1626" s="105"/>
    </row>
    <row r="1627" spans="1:6">
      <c r="A1627"/>
      <c r="B1627" s="223"/>
      <c r="D1627" s="105"/>
      <c r="E1627" s="105"/>
      <c r="F1627" s="105"/>
    </row>
    <row r="1628" spans="1:6">
      <c r="A1628"/>
      <c r="B1628" s="223"/>
      <c r="D1628" s="105"/>
      <c r="E1628" s="105"/>
      <c r="F1628" s="105"/>
    </row>
    <row r="1629" spans="1:6">
      <c r="A1629"/>
      <c r="B1629" s="223"/>
      <c r="D1629" s="105"/>
      <c r="E1629" s="105"/>
      <c r="F1629" s="105"/>
    </row>
    <row r="1630" spans="1:6">
      <c r="A1630"/>
      <c r="B1630" s="223"/>
      <c r="D1630" s="105"/>
      <c r="E1630" s="105"/>
      <c r="F1630" s="105"/>
    </row>
    <row r="1631" spans="1:6">
      <c r="A1631"/>
      <c r="B1631" s="223"/>
      <c r="D1631" s="105"/>
      <c r="E1631" s="105"/>
      <c r="F1631" s="105"/>
    </row>
    <row r="1632" spans="1:6">
      <c r="A1632"/>
      <c r="B1632" s="223"/>
      <c r="D1632" s="105"/>
      <c r="E1632" s="105"/>
      <c r="F1632" s="105"/>
    </row>
    <row r="1633" spans="1:6">
      <c r="A1633"/>
      <c r="B1633" s="223"/>
      <c r="D1633" s="105"/>
      <c r="E1633" s="105"/>
      <c r="F1633" s="105"/>
    </row>
    <row r="1634" spans="1:6">
      <c r="A1634"/>
      <c r="B1634" s="223"/>
      <c r="D1634" s="105"/>
      <c r="E1634" s="105"/>
      <c r="F1634" s="105"/>
    </row>
    <row r="1635" spans="1:6">
      <c r="A1635"/>
      <c r="B1635" s="223"/>
      <c r="D1635" s="105"/>
      <c r="E1635" s="105"/>
      <c r="F1635" s="105"/>
    </row>
    <row r="1636" spans="1:6">
      <c r="A1636"/>
      <c r="B1636" s="223"/>
      <c r="D1636" s="105"/>
      <c r="E1636" s="105"/>
      <c r="F1636" s="105"/>
    </row>
    <row r="1637" spans="1:6">
      <c r="A1637"/>
      <c r="B1637" s="223"/>
      <c r="D1637" s="105"/>
      <c r="E1637" s="105"/>
      <c r="F1637" s="105"/>
    </row>
    <row r="1638" spans="1:6">
      <c r="A1638"/>
      <c r="B1638" s="223"/>
      <c r="D1638" s="105"/>
      <c r="E1638" s="105"/>
      <c r="F1638" s="105"/>
    </row>
    <row r="1639" spans="1:6">
      <c r="A1639"/>
      <c r="B1639" s="223"/>
      <c r="D1639" s="105"/>
      <c r="E1639" s="105"/>
      <c r="F1639" s="105"/>
    </row>
    <row r="1640" spans="1:6">
      <c r="A1640"/>
      <c r="B1640" s="223"/>
      <c r="D1640" s="105"/>
      <c r="E1640" s="105"/>
      <c r="F1640" s="105"/>
    </row>
    <row r="1641" spans="1:6">
      <c r="A1641"/>
      <c r="B1641" s="223"/>
      <c r="D1641" s="105"/>
      <c r="E1641" s="105"/>
      <c r="F1641" s="105"/>
    </row>
    <row r="1642" spans="1:6">
      <c r="A1642"/>
      <c r="B1642" s="223"/>
      <c r="D1642" s="105"/>
      <c r="E1642" s="105"/>
      <c r="F1642" s="105"/>
    </row>
    <row r="1643" spans="1:6">
      <c r="A1643"/>
      <c r="B1643" s="223"/>
      <c r="D1643" s="105"/>
      <c r="E1643" s="105"/>
      <c r="F1643" s="105"/>
    </row>
    <row r="1644" spans="1:6">
      <c r="A1644"/>
      <c r="B1644" s="223"/>
      <c r="D1644" s="105"/>
      <c r="E1644" s="105"/>
      <c r="F1644" s="105"/>
    </row>
    <row r="1645" spans="1:6">
      <c r="A1645"/>
      <c r="B1645" s="223"/>
      <c r="D1645" s="105"/>
      <c r="E1645" s="105"/>
      <c r="F1645" s="105"/>
    </row>
    <row r="1646" spans="1:6">
      <c r="A1646"/>
      <c r="B1646" s="223"/>
      <c r="D1646" s="105"/>
      <c r="E1646" s="105"/>
      <c r="F1646" s="105"/>
    </row>
    <row r="1647" spans="1:6">
      <c r="A1647"/>
      <c r="B1647" s="223"/>
      <c r="D1647" s="105"/>
      <c r="E1647" s="105"/>
      <c r="F1647" s="105"/>
    </row>
    <row r="1648" spans="1:6">
      <c r="A1648"/>
      <c r="B1648" s="223"/>
      <c r="D1648" s="105"/>
      <c r="E1648" s="105"/>
      <c r="F1648" s="105"/>
    </row>
    <row r="1649" spans="1:6">
      <c r="A1649"/>
      <c r="B1649" s="223"/>
      <c r="D1649" s="105"/>
      <c r="E1649" s="105"/>
      <c r="F1649" s="105"/>
    </row>
    <row r="1650" spans="1:6">
      <c r="A1650"/>
      <c r="B1650" s="223"/>
      <c r="D1650" s="105"/>
      <c r="E1650" s="105"/>
      <c r="F1650" s="105"/>
    </row>
    <row r="1651" spans="1:6">
      <c r="A1651"/>
      <c r="B1651" s="223"/>
      <c r="D1651" s="105"/>
      <c r="E1651" s="105"/>
      <c r="F1651" s="105"/>
    </row>
    <row r="1652" spans="1:6">
      <c r="A1652"/>
      <c r="B1652" s="223"/>
      <c r="D1652" s="105"/>
      <c r="E1652" s="105"/>
      <c r="F1652" s="105"/>
    </row>
    <row r="1653" spans="1:6">
      <c r="A1653"/>
      <c r="B1653" s="223"/>
      <c r="D1653" s="105"/>
      <c r="E1653" s="105"/>
      <c r="F1653" s="105"/>
    </row>
    <row r="1654" spans="1:6">
      <c r="A1654"/>
      <c r="B1654" s="223"/>
      <c r="D1654" s="105"/>
      <c r="E1654" s="105"/>
      <c r="F1654" s="105"/>
    </row>
    <row r="1655" spans="1:6">
      <c r="A1655"/>
      <c r="B1655" s="223"/>
      <c r="D1655" s="105"/>
      <c r="E1655" s="105"/>
      <c r="F1655" s="105"/>
    </row>
    <row r="1656" spans="1:6">
      <c r="A1656"/>
      <c r="B1656" s="223"/>
      <c r="D1656" s="105"/>
      <c r="E1656" s="105"/>
      <c r="F1656" s="105"/>
    </row>
    <row r="1657" spans="1:6">
      <c r="A1657"/>
      <c r="B1657" s="223"/>
      <c r="D1657" s="105"/>
      <c r="E1657" s="105"/>
      <c r="F1657" s="105"/>
    </row>
    <row r="1658" spans="1:6">
      <c r="A1658"/>
      <c r="B1658" s="223"/>
      <c r="D1658" s="105"/>
      <c r="E1658" s="105"/>
      <c r="F1658" s="105"/>
    </row>
    <row r="1659" spans="1:6">
      <c r="A1659"/>
      <c r="B1659" s="223"/>
      <c r="D1659" s="105"/>
      <c r="E1659" s="105"/>
      <c r="F1659" s="105"/>
    </row>
    <row r="1660" spans="1:6">
      <c r="A1660"/>
      <c r="B1660" s="223"/>
      <c r="D1660" s="105"/>
      <c r="E1660" s="105"/>
      <c r="F1660" s="105"/>
    </row>
    <row r="1661" spans="1:6">
      <c r="A1661"/>
      <c r="B1661" s="223"/>
      <c r="D1661" s="105"/>
      <c r="E1661" s="105"/>
      <c r="F1661" s="105"/>
    </row>
    <row r="1662" spans="1:6">
      <c r="A1662"/>
      <c r="B1662" s="223"/>
      <c r="D1662" s="105"/>
      <c r="E1662" s="105"/>
      <c r="F1662" s="105"/>
    </row>
    <row r="1663" spans="1:6">
      <c r="A1663"/>
      <c r="B1663" s="223"/>
      <c r="D1663" s="105"/>
      <c r="E1663" s="105"/>
      <c r="F1663" s="105"/>
    </row>
    <row r="1664" spans="1:6">
      <c r="A1664"/>
      <c r="B1664" s="223"/>
      <c r="D1664" s="105"/>
      <c r="E1664" s="105"/>
      <c r="F1664" s="105"/>
    </row>
    <row r="1665" spans="1:6">
      <c r="A1665"/>
      <c r="B1665" s="223"/>
      <c r="D1665" s="105"/>
      <c r="E1665" s="105"/>
      <c r="F1665" s="105"/>
    </row>
    <row r="1666" spans="1:6">
      <c r="A1666"/>
      <c r="B1666" s="223"/>
      <c r="D1666" s="105"/>
      <c r="E1666" s="105"/>
      <c r="F1666" s="105"/>
    </row>
    <row r="1667" spans="1:6">
      <c r="A1667"/>
      <c r="B1667" s="223"/>
      <c r="D1667" s="105"/>
      <c r="E1667" s="105"/>
      <c r="F1667" s="105"/>
    </row>
    <row r="1668" spans="1:6">
      <c r="A1668"/>
      <c r="B1668" s="223"/>
      <c r="D1668" s="105"/>
      <c r="E1668" s="105"/>
      <c r="F1668" s="105"/>
    </row>
    <row r="1669" spans="1:6">
      <c r="A1669"/>
      <c r="B1669" s="223"/>
      <c r="D1669" s="105"/>
      <c r="E1669" s="105"/>
      <c r="F1669" s="105"/>
    </row>
    <row r="1670" spans="1:6">
      <c r="A1670"/>
      <c r="B1670" s="223"/>
      <c r="D1670" s="105"/>
      <c r="E1670" s="105"/>
      <c r="F1670" s="105"/>
    </row>
    <row r="1671" spans="1:6">
      <c r="A1671"/>
      <c r="B1671" s="223"/>
      <c r="D1671" s="105"/>
      <c r="E1671" s="105"/>
      <c r="F1671" s="105"/>
    </row>
    <row r="1672" spans="1:6">
      <c r="A1672"/>
      <c r="B1672" s="223"/>
      <c r="D1672" s="105"/>
      <c r="E1672" s="105"/>
      <c r="F1672" s="105"/>
    </row>
    <row r="1673" spans="1:6">
      <c r="A1673"/>
      <c r="B1673" s="223"/>
      <c r="D1673" s="105"/>
      <c r="E1673" s="105"/>
      <c r="F1673" s="105"/>
    </row>
    <row r="1674" spans="1:6">
      <c r="A1674"/>
      <c r="B1674" s="223"/>
      <c r="D1674" s="105"/>
      <c r="E1674" s="105"/>
      <c r="F1674" s="105"/>
    </row>
    <row r="1675" spans="1:6">
      <c r="A1675"/>
      <c r="B1675" s="223"/>
      <c r="D1675" s="105"/>
      <c r="E1675" s="105"/>
      <c r="F1675" s="105"/>
    </row>
    <row r="1676" spans="1:6">
      <c r="A1676"/>
      <c r="B1676" s="223"/>
      <c r="D1676" s="105"/>
      <c r="E1676" s="105"/>
      <c r="F1676" s="105"/>
    </row>
    <row r="1677" spans="1:6">
      <c r="A1677"/>
      <c r="B1677" s="223"/>
      <c r="D1677" s="105"/>
      <c r="E1677" s="105"/>
      <c r="F1677" s="105"/>
    </row>
    <row r="1678" spans="1:6">
      <c r="A1678"/>
      <c r="B1678" s="223"/>
      <c r="D1678" s="105"/>
      <c r="E1678" s="105"/>
      <c r="F1678" s="105"/>
    </row>
    <row r="1679" spans="1:6">
      <c r="A1679"/>
      <c r="B1679" s="223"/>
      <c r="D1679" s="105"/>
      <c r="E1679" s="105"/>
      <c r="F1679" s="105"/>
    </row>
    <row r="1680" spans="1:6">
      <c r="A1680"/>
      <c r="B1680" s="223"/>
      <c r="D1680" s="105"/>
      <c r="E1680" s="105"/>
      <c r="F1680" s="105"/>
    </row>
    <row r="1681" spans="1:6">
      <c r="A1681"/>
      <c r="B1681" s="223"/>
      <c r="D1681" s="105"/>
      <c r="E1681" s="105"/>
      <c r="F1681" s="105"/>
    </row>
    <row r="1682" spans="1:6">
      <c r="A1682"/>
      <c r="B1682" s="223"/>
      <c r="D1682" s="105"/>
      <c r="E1682" s="105"/>
      <c r="F1682" s="105"/>
    </row>
    <row r="1683" spans="1:6">
      <c r="A1683"/>
      <c r="B1683" s="223"/>
      <c r="D1683" s="105"/>
      <c r="E1683" s="105"/>
      <c r="F1683" s="105"/>
    </row>
  </sheetData>
  <phoneticPr fontId="2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indexed="45"/>
  </sheetPr>
  <dimension ref="A1:Z208"/>
  <sheetViews>
    <sheetView zoomScale="85" workbookViewId="0">
      <selection activeCell="G41" sqref="G41"/>
    </sheetView>
  </sheetViews>
  <sheetFormatPr defaultRowHeight="12.75"/>
  <cols>
    <col min="1" max="1" width="16.140625" bestFit="1" customWidth="1"/>
    <col min="2" max="2" width="19" bestFit="1" customWidth="1"/>
    <col min="3" max="3" width="25.140625" bestFit="1" customWidth="1"/>
    <col min="4" max="4" width="17.85546875" bestFit="1" customWidth="1"/>
    <col min="5" max="5" width="15.5703125" bestFit="1" customWidth="1"/>
    <col min="6" max="6" width="8" bestFit="1" customWidth="1"/>
    <col min="7" max="7" width="9.5703125" bestFit="1" customWidth="1"/>
    <col min="8" max="8" width="12.5703125" style="15" bestFit="1" customWidth="1"/>
    <col min="9" max="9" width="10.5703125" style="15" bestFit="1" customWidth="1"/>
    <col min="10" max="10" width="8.85546875" bestFit="1" customWidth="1"/>
    <col min="11" max="11" width="10.28515625" bestFit="1" customWidth="1"/>
    <col min="12" max="12" width="12.28515625" style="2" bestFit="1" customWidth="1"/>
    <col min="13" max="13" width="10.28515625" bestFit="1" customWidth="1"/>
    <col min="14" max="14" width="14.140625" bestFit="1" customWidth="1"/>
    <col min="15" max="15" width="16" style="15" bestFit="1" customWidth="1"/>
    <col min="16" max="16" width="11.85546875" bestFit="1" customWidth="1"/>
    <col min="17" max="17" width="12.28515625" bestFit="1" customWidth="1"/>
    <col min="18" max="18" width="18.28515625" bestFit="1" customWidth="1"/>
    <col min="19" max="19" width="4.140625" customWidth="1"/>
    <col min="20" max="20" width="8.85546875" style="16" bestFit="1" customWidth="1"/>
    <col min="21" max="24" width="10.28515625" style="16" bestFit="1" customWidth="1"/>
    <col min="25" max="26" width="14.28515625" style="16" bestFit="1" customWidth="1"/>
  </cols>
  <sheetData>
    <row r="1" spans="1:26">
      <c r="D1" s="1"/>
      <c r="E1" s="1"/>
      <c r="N1" s="15"/>
    </row>
    <row r="2" spans="1:26">
      <c r="N2" s="15"/>
    </row>
    <row r="3" spans="1:26">
      <c r="N3" s="15"/>
    </row>
    <row r="4" spans="1:26" ht="13.5" thickBot="1">
      <c r="A4" s="58"/>
      <c r="B4" s="58" t="s">
        <v>84</v>
      </c>
      <c r="C4" s="59" t="s">
        <v>87</v>
      </c>
      <c r="D4" s="60" t="s">
        <v>80</v>
      </c>
      <c r="E4" s="60" t="s">
        <v>81</v>
      </c>
      <c r="F4" s="225" t="s">
        <v>155</v>
      </c>
      <c r="G4" s="226"/>
      <c r="H4" s="227" t="s">
        <v>156</v>
      </c>
      <c r="I4" s="228"/>
      <c r="J4" s="68"/>
      <c r="K4" s="69"/>
      <c r="L4" s="70"/>
      <c r="M4" s="71"/>
      <c r="N4" s="72"/>
      <c r="O4" s="72"/>
      <c r="P4" s="71"/>
      <c r="Q4" s="73" t="s">
        <v>157</v>
      </c>
      <c r="R4" s="73"/>
    </row>
    <row r="5" spans="1:26" ht="13.5" thickBot="1">
      <c r="A5" s="61" t="s">
        <v>85</v>
      </c>
      <c r="B5" s="62" t="s">
        <v>86</v>
      </c>
      <c r="C5" s="62" t="s">
        <v>88</v>
      </c>
      <c r="D5" s="62" t="s">
        <v>82</v>
      </c>
      <c r="E5" s="62" t="s">
        <v>83</v>
      </c>
      <c r="F5" s="17" t="s">
        <v>158</v>
      </c>
      <c r="G5" s="17" t="s">
        <v>159</v>
      </c>
      <c r="H5" s="18" t="s">
        <v>159</v>
      </c>
      <c r="I5" s="18" t="s">
        <v>158</v>
      </c>
      <c r="J5" s="74" t="s">
        <v>37</v>
      </c>
      <c r="K5" s="74" t="s">
        <v>38</v>
      </c>
      <c r="L5" s="75" t="s">
        <v>160</v>
      </c>
      <c r="M5" s="76" t="s">
        <v>161</v>
      </c>
      <c r="N5" s="76" t="s">
        <v>162</v>
      </c>
      <c r="O5" s="77" t="s">
        <v>163</v>
      </c>
      <c r="P5" s="78" t="s">
        <v>164</v>
      </c>
      <c r="Q5" s="79" t="s">
        <v>165</v>
      </c>
      <c r="R5" s="80" t="s">
        <v>166</v>
      </c>
      <c r="T5" s="16" t="s">
        <v>167</v>
      </c>
      <c r="U5" s="16" t="s">
        <v>36</v>
      </c>
      <c r="V5" s="16" t="s">
        <v>35</v>
      </c>
      <c r="W5" s="16" t="s">
        <v>34</v>
      </c>
      <c r="X5" s="16" t="s">
        <v>33</v>
      </c>
      <c r="Y5" s="16" t="s">
        <v>26</v>
      </c>
      <c r="Z5" s="16" t="s">
        <v>27</v>
      </c>
    </row>
    <row r="6" spans="1:26" ht="13.5" thickBot="1">
      <c r="A6" s="63" t="s">
        <v>90</v>
      </c>
      <c r="B6" s="64" t="str">
        <f>_xll.BDP(A6&amp;" mtge ISIN",$B$4)</f>
        <v>ALGI 2007-1A A1</v>
      </c>
      <c r="C6" s="65">
        <f>I6</f>
        <v>1000000</v>
      </c>
      <c r="D6" s="66">
        <v>30</v>
      </c>
      <c r="E6" s="66" t="s">
        <v>150</v>
      </c>
      <c r="F6" s="4" t="b">
        <v>1</v>
      </c>
      <c r="G6" s="5"/>
      <c r="H6" s="27">
        <v>1000000</v>
      </c>
      <c r="I6" s="28">
        <v>1000000</v>
      </c>
      <c r="J6" s="81" t="str">
        <f>_xll.BDP($A6&amp;" mtge","MTG WAL","ALLOW_DYNAMIC_CASHFLOW_CALCS ","Y","MTG PREPAY SPEED",D6,"MTG PREPAY TYP",$E6)</f>
        <v>#N/A N/A</v>
      </c>
      <c r="K6" s="82" t="str">
        <f>_xll.BDP($A6&amp;" mtge","MTG_NXT_PAY_DT_SET_DT ")</f>
        <v>7/28/2016</v>
      </c>
      <c r="L6" s="82" t="e">
        <f>MAX(#REF!)</f>
        <v>#REF!</v>
      </c>
      <c r="M6" s="81" t="str">
        <f>_xll.BDP(A6&amp;" mtge ISIN","Maturity")</f>
        <v>6/28/2016</v>
      </c>
      <c r="N6" s="81" t="e">
        <f>(M6-L6)&gt;=0</f>
        <v>#REF!</v>
      </c>
      <c r="O6" s="83" t="e">
        <f>#REF!+#REF!</f>
        <v>#REF!</v>
      </c>
      <c r="P6" s="84" t="e">
        <f t="shared" ref="P6:P16" si="0">O6/C6</f>
        <v>#REF!</v>
      </c>
      <c r="Q6" s="81">
        <f>_xll.BDP(A6&amp;" mtge ISIN",$Q$4)</f>
        <v>0</v>
      </c>
      <c r="R6" s="81" t="b">
        <f>IF(NOT(ISERROR(P6)),IF(P6&gt;0,ABS(P6-Q6)&lt;0.00001))</f>
        <v>0</v>
      </c>
      <c r="S6" s="25"/>
      <c r="T6" s="26" t="str">
        <f>IF(R6,IF(N6,"OK", "NOT OK"),"NOT OK")</f>
        <v>NOT OK</v>
      </c>
      <c r="U6" s="56" t="s">
        <v>32</v>
      </c>
      <c r="V6" s="56" t="s">
        <v>32</v>
      </c>
      <c r="W6" s="56" t="s">
        <v>32</v>
      </c>
      <c r="X6" s="26"/>
      <c r="Y6" s="16" t="e">
        <v>#REF!</v>
      </c>
      <c r="Z6" s="16" t="e">
        <v>#REF!</v>
      </c>
    </row>
    <row r="7" spans="1:26" ht="13.5" thickBot="1">
      <c r="A7" s="67" t="s">
        <v>170</v>
      </c>
      <c r="B7" s="64" t="str">
        <f>_xll.BDP(A7&amp;" mtge ISIN",$B$4)</f>
        <v>ALGI 2007-1A A2</v>
      </c>
      <c r="C7" s="65">
        <f>I7</f>
        <v>1000000</v>
      </c>
      <c r="D7" s="66">
        <v>0</v>
      </c>
      <c r="E7" s="66" t="s">
        <v>150</v>
      </c>
      <c r="F7" s="23"/>
      <c r="G7" s="24" t="b">
        <v>1</v>
      </c>
      <c r="H7" s="30">
        <v>1000000</v>
      </c>
      <c r="I7" s="31">
        <v>1000000</v>
      </c>
      <c r="J7" s="81" t="str">
        <f>_xll.BDP($A7&amp;" mtge","MTG WAL","ALLOW_DYNAMIC_CASHFLOW_CALCS ","Y","MTG PREPAY SPEED",D7,"MTG PREPAY TYP",$E7)</f>
        <v>#N/A N/A</v>
      </c>
      <c r="K7" s="82" t="str">
        <f>_xll.BDP($A7&amp;" mtge","MTG_NXT_PAY_DT_SET_DT ")</f>
        <v>7/28/2016</v>
      </c>
      <c r="L7" s="82" t="e">
        <f>MAX(#REF!)</f>
        <v>#REF!</v>
      </c>
      <c r="M7" s="81" t="str">
        <f>_xll.BDP(A7&amp;" mtge ISIN","Maturity")</f>
        <v>6/28/2019</v>
      </c>
      <c r="N7" s="81" t="e">
        <f t="shared" ref="N7:N16" si="1">(M7-L7)&gt;=0</f>
        <v>#REF!</v>
      </c>
      <c r="O7" s="83" t="e">
        <f>#REF!+#REF!</f>
        <v>#REF!</v>
      </c>
      <c r="P7" s="84" t="e">
        <f t="shared" si="0"/>
        <v>#REF!</v>
      </c>
      <c r="Q7" s="81">
        <f>_xll.BDP(A7&amp;" mtge ISIN",$Q$4)</f>
        <v>9.6153846200000004E-2</v>
      </c>
      <c r="R7" s="81" t="b">
        <f t="shared" ref="R7:R70" si="2">IF(NOT(ISERROR(P7)),IF(P7&gt;0,ABS(P7-Q7)&lt;0.00001))</f>
        <v>0</v>
      </c>
      <c r="S7" s="25"/>
      <c r="T7" s="26" t="str">
        <f t="shared" ref="T7:T70" si="3">IF(R7,IF(N7,"OK", "NOT OK"),"NOT OK")</f>
        <v>NOT OK</v>
      </c>
      <c r="U7" s="26"/>
      <c r="V7" s="26"/>
      <c r="W7" s="26"/>
      <c r="X7" s="26"/>
      <c r="Y7" t="s">
        <v>169</v>
      </c>
      <c r="Z7" t="s">
        <v>169</v>
      </c>
    </row>
    <row r="8" spans="1:26" ht="13.5" thickBot="1">
      <c r="A8" s="67" t="s">
        <v>171</v>
      </c>
      <c r="B8" s="64" t="str">
        <f>_xll.BDP(A8&amp;" mtge ISIN",$B$4)</f>
        <v>ALGI 2007-1A A3</v>
      </c>
      <c r="C8" s="65">
        <f>H8</f>
        <v>1000000</v>
      </c>
      <c r="D8" s="66">
        <v>0</v>
      </c>
      <c r="E8" s="66" t="s">
        <v>150</v>
      </c>
      <c r="F8" s="23" t="b">
        <v>1</v>
      </c>
      <c r="G8" s="24" t="b">
        <v>1</v>
      </c>
      <c r="H8" s="30">
        <v>1000000</v>
      </c>
      <c r="I8" s="31">
        <v>1000000</v>
      </c>
      <c r="J8" s="81" t="str">
        <f>_xll.BDP($A8&amp;" mtge","MTG WAL","ALLOW_DYNAMIC_CASHFLOW_CALCS ","Y","MTG PREPAY SPEED",D8,"MTG PREPAY TYP",$E8)</f>
        <v>#N/A N/A</v>
      </c>
      <c r="K8" s="82" t="str">
        <f>_xll.BDP($A8&amp;" mtge","MTG_NXT_PAY_DT_SET_DT ")</f>
        <v>7/28/2016</v>
      </c>
      <c r="L8" s="82" t="e">
        <f>MAX(#REF!)</f>
        <v>#REF!</v>
      </c>
      <c r="M8" s="81" t="str">
        <f>_xll.BDP(A8&amp;" mtge ISIN","Maturity")</f>
        <v>6/28/2023</v>
      </c>
      <c r="N8" s="81" t="e">
        <f t="shared" si="1"/>
        <v>#REF!</v>
      </c>
      <c r="O8" s="83" t="e">
        <f>#REF!+#REF!</f>
        <v>#REF!</v>
      </c>
      <c r="P8" s="84" t="e">
        <f t="shared" si="0"/>
        <v>#REF!</v>
      </c>
      <c r="Q8" s="81">
        <f>_xll.BDP(A8&amp;" mtge ISIN",$Q$4)</f>
        <v>1</v>
      </c>
      <c r="R8" s="81" t="b">
        <f t="shared" si="2"/>
        <v>0</v>
      </c>
      <c r="S8" s="25"/>
      <c r="T8" s="26" t="str">
        <f t="shared" si="3"/>
        <v>NOT OK</v>
      </c>
      <c r="U8" s="26" t="s">
        <v>169</v>
      </c>
      <c r="V8" s="26" t="s">
        <v>169</v>
      </c>
      <c r="W8" s="26" t="s">
        <v>169</v>
      </c>
      <c r="X8" s="26"/>
      <c r="Y8" s="16" t="s">
        <v>169</v>
      </c>
      <c r="Z8" s="16" t="s">
        <v>169</v>
      </c>
    </row>
    <row r="9" spans="1:26" ht="13.5" thickBot="1">
      <c r="A9" s="32" t="s">
        <v>172</v>
      </c>
      <c r="B9" s="19" t="str">
        <f>_xll.BDP(A9&amp;" mtge ISIN",$B$4)</f>
        <v>ACCSS 2005-1 A3</v>
      </c>
      <c r="C9" s="20">
        <f>I9</f>
        <v>1000000</v>
      </c>
      <c r="D9" s="21">
        <v>0</v>
      </c>
      <c r="E9" s="21" t="s">
        <v>150</v>
      </c>
      <c r="F9" s="23"/>
      <c r="G9" s="24" t="b">
        <v>1</v>
      </c>
      <c r="H9" s="30">
        <v>1000000</v>
      </c>
      <c r="I9" s="31">
        <v>1000000</v>
      </c>
      <c r="J9" t="str">
        <f>_xll.BDP($A9&amp;" mtge","MTG WAL","ALLOW_DYNAMIC_CASHFLOW_CALCS ","Y","MTG PREPAY SPEED",D9,"MTG PREPAY TYP",$E9)</f>
        <v>#N/A N/A</v>
      </c>
      <c r="K9" s="2" t="str">
        <f>_xll.BDP($A9&amp;" mtge","MTG_NXT_PAY_DT_SET_DT ")</f>
        <v>6/22/2016</v>
      </c>
      <c r="L9" s="2" t="e">
        <f>MAX(#REF!)</f>
        <v>#REF!</v>
      </c>
      <c r="M9" t="str">
        <f>_xll.BDP(A9&amp;" mtge ISIN","Maturity")</f>
        <v>6/22/2022</v>
      </c>
      <c r="N9" t="e">
        <f t="shared" si="1"/>
        <v>#REF!</v>
      </c>
      <c r="O9" s="15" t="e">
        <f>#REF!+#REF!</f>
        <v>#REF!</v>
      </c>
      <c r="P9" s="22" t="e">
        <f t="shared" si="0"/>
        <v>#REF!</v>
      </c>
      <c r="Q9">
        <f>_xll.BDP(A9&amp;" mtge ISIN",$Q$4)</f>
        <v>0.62436090860000004</v>
      </c>
      <c r="R9" t="b">
        <f t="shared" si="2"/>
        <v>0</v>
      </c>
      <c r="S9" s="25"/>
      <c r="T9" s="26" t="str">
        <f t="shared" si="3"/>
        <v>NOT OK</v>
      </c>
      <c r="U9" s="26"/>
      <c r="V9" s="26"/>
      <c r="W9" s="26"/>
      <c r="X9" s="26" t="s">
        <v>168</v>
      </c>
      <c r="Y9" t="s">
        <v>168</v>
      </c>
      <c r="Z9" t="s">
        <v>168</v>
      </c>
    </row>
    <row r="10" spans="1:26" ht="13.5" thickBot="1">
      <c r="A10" s="33" t="s">
        <v>173</v>
      </c>
      <c r="B10" s="19" t="str">
        <f>_xll.BDP(A10&amp;" mtge ISIN",$B$4)</f>
        <v>ACCSS 2005-1 A4</v>
      </c>
      <c r="C10" s="20">
        <f>I10</f>
        <v>1000000</v>
      </c>
      <c r="D10" s="21">
        <v>0</v>
      </c>
      <c r="E10" s="21" t="s">
        <v>150</v>
      </c>
      <c r="F10" s="23"/>
      <c r="G10" s="24" t="b">
        <v>1</v>
      </c>
      <c r="H10" s="30">
        <v>1000000</v>
      </c>
      <c r="I10" s="31">
        <v>1000000</v>
      </c>
      <c r="J10" t="str">
        <f>_xll.BDP($A10&amp;" mtge","MTG WAL","ALLOW_DYNAMIC_CASHFLOW_CALCS ","Y","MTG PREPAY SPEED",D10,"MTG PREPAY TYP",$E10)</f>
        <v>#N/A N/A</v>
      </c>
      <c r="K10" s="2" t="str">
        <f>_xll.BDP($A10&amp;" mtge","MTG_NXT_PAY_DT_SET_DT ")</f>
        <v>6/22/2016</v>
      </c>
      <c r="L10" s="2" t="e">
        <f>MAX(#REF!)</f>
        <v>#REF!</v>
      </c>
      <c r="M10" t="str">
        <f>_xll.BDP(A10&amp;" mtge ISIN","Maturity")</f>
        <v>6/22/2037</v>
      </c>
      <c r="N10" t="e">
        <f t="shared" si="1"/>
        <v>#REF!</v>
      </c>
      <c r="O10" s="15" t="e">
        <f>#REF!+#REF!</f>
        <v>#REF!</v>
      </c>
      <c r="P10" s="22" t="e">
        <f t="shared" si="0"/>
        <v>#REF!</v>
      </c>
      <c r="Q10">
        <f>_xll.BDP(A10&amp;" mtge ISIN",$Q$4)</f>
        <v>1</v>
      </c>
      <c r="R10" t="b">
        <f t="shared" si="2"/>
        <v>0</v>
      </c>
      <c r="S10" s="25"/>
      <c r="T10" s="26" t="str">
        <f t="shared" si="3"/>
        <v>NOT OK</v>
      </c>
      <c r="U10" s="26"/>
      <c r="V10" s="26"/>
      <c r="W10" s="26"/>
      <c r="X10" s="26"/>
      <c r="Y10" t="s">
        <v>169</v>
      </c>
      <c r="Z10" t="s">
        <v>169</v>
      </c>
    </row>
    <row r="11" spans="1:26" ht="13.5" thickBot="1">
      <c r="A11" s="34" t="s">
        <v>174</v>
      </c>
      <c r="B11" s="19" t="str">
        <f>_xll.BDP(A11&amp;" mtge ISIN",$B$4)</f>
        <v>ACCSS 2005-2 A3</v>
      </c>
      <c r="C11" s="20">
        <f>I11</f>
        <v>1000000</v>
      </c>
      <c r="D11" s="21">
        <v>0</v>
      </c>
      <c r="E11" s="21" t="s">
        <v>150</v>
      </c>
      <c r="F11" s="23"/>
      <c r="G11" s="24" t="b">
        <v>1</v>
      </c>
      <c r="H11" s="30">
        <v>1000000</v>
      </c>
      <c r="I11" s="31">
        <v>1000000</v>
      </c>
      <c r="J11" t="str">
        <f>_xll.BDP($A11&amp;" mtge","MTG WAL","ALLOW_DYNAMIC_CASHFLOW_CALCS ","Y","MTG PREPAY SPEED",D11,"MTG PREPAY TYP",$E11)</f>
        <v>#N/A N/A</v>
      </c>
      <c r="K11" s="2" t="str">
        <f>_xll.BDP($A11&amp;" mtge","MTG_NXT_PAY_DT_SET_DT ")</f>
        <v>8/22/2016</v>
      </c>
      <c r="L11" s="2" t="e">
        <f>MAX(#REF!)</f>
        <v>#REF!</v>
      </c>
      <c r="M11" t="str">
        <f>_xll.BDP(A11&amp;" mtge ISIN","Maturity")</f>
        <v>11/22/2024</v>
      </c>
      <c r="N11" t="e">
        <f t="shared" si="1"/>
        <v>#REF!</v>
      </c>
      <c r="O11" s="15" t="e">
        <f>#REF!+#REF!</f>
        <v>#REF!</v>
      </c>
      <c r="P11" s="22" t="e">
        <f t="shared" si="0"/>
        <v>#REF!</v>
      </c>
      <c r="Q11">
        <f>_xll.BDP(A11&amp;" mtge ISIN",$Q$4)</f>
        <v>0.37664777310000003</v>
      </c>
      <c r="R11" t="b">
        <f t="shared" si="2"/>
        <v>0</v>
      </c>
      <c r="S11" s="25"/>
      <c r="T11" s="26" t="str">
        <f t="shared" si="3"/>
        <v>NOT OK</v>
      </c>
      <c r="U11" s="26"/>
      <c r="V11" s="26"/>
      <c r="W11" s="26"/>
      <c r="X11" s="26"/>
      <c r="Y11" t="s">
        <v>168</v>
      </c>
      <c r="Z11" t="s">
        <v>168</v>
      </c>
    </row>
    <row r="12" spans="1:26" ht="13.5" thickBot="1">
      <c r="A12" s="33" t="s">
        <v>175</v>
      </c>
      <c r="B12" s="19" t="str">
        <f>_xll.BDP(A12&amp;" mtge ISIN",$B$4)</f>
        <v>ACCSS 2005-2 A4</v>
      </c>
      <c r="C12" s="20">
        <f>I12</f>
        <v>1000000</v>
      </c>
      <c r="D12" s="21">
        <v>0</v>
      </c>
      <c r="E12" s="21" t="s">
        <v>150</v>
      </c>
      <c r="F12" s="23"/>
      <c r="G12" s="24" t="b">
        <v>1</v>
      </c>
      <c r="H12" s="30">
        <v>1000000</v>
      </c>
      <c r="I12" s="31">
        <v>1000000</v>
      </c>
      <c r="J12" t="str">
        <f>_xll.BDP($A12&amp;" mtge","MTG WAL","ALLOW_DYNAMIC_CASHFLOW_CALCS ","Y","MTG PREPAY SPEED",D12,"MTG PREPAY TYP",$E12)</f>
        <v>#N/A N/A</v>
      </c>
      <c r="K12" s="2" t="str">
        <f>_xll.BDP($A12&amp;" mtge","MTG_NXT_PAY_DT_SET_DT ")</f>
        <v>8/22/2016</v>
      </c>
      <c r="L12" s="2" t="e">
        <f>MAX(#REF!)</f>
        <v>#REF!</v>
      </c>
      <c r="M12" t="str">
        <f>_xll.BDP(A12&amp;" mtge ISIN","Maturity")</f>
        <v>2/22/2044</v>
      </c>
      <c r="N12" t="e">
        <f t="shared" si="1"/>
        <v>#REF!</v>
      </c>
      <c r="O12" s="15" t="e">
        <f>#REF!+#REF!</f>
        <v>#REF!</v>
      </c>
      <c r="P12" s="22" t="e">
        <f t="shared" si="0"/>
        <v>#REF!</v>
      </c>
      <c r="Q12">
        <f>_xll.BDP(A12&amp;" mtge ISIN",$Q$4)</f>
        <v>1</v>
      </c>
      <c r="R12" t="b">
        <f t="shared" si="2"/>
        <v>0</v>
      </c>
      <c r="S12" s="25"/>
      <c r="T12" s="26" t="str">
        <f t="shared" si="3"/>
        <v>NOT OK</v>
      </c>
      <c r="U12" s="26"/>
      <c r="V12" s="26"/>
      <c r="W12" s="26"/>
      <c r="X12" s="26"/>
      <c r="Y12" t="s">
        <v>168</v>
      </c>
      <c r="Z12" t="s">
        <v>168</v>
      </c>
    </row>
    <row r="13" spans="1:26" ht="13.5" thickBot="1">
      <c r="A13" s="29" t="s">
        <v>176</v>
      </c>
      <c r="B13" s="19" t="str">
        <f>_xll.BDP(A13&amp;" mtge ISIN",$B$4)</f>
        <v>ACCSS 2006-1 A2</v>
      </c>
      <c r="C13" s="20">
        <f>H13</f>
        <v>1000000</v>
      </c>
      <c r="D13" s="21">
        <v>0</v>
      </c>
      <c r="E13" s="21" t="s">
        <v>150</v>
      </c>
      <c r="F13" s="23" t="b">
        <v>1</v>
      </c>
      <c r="G13" s="24" t="b">
        <v>1</v>
      </c>
      <c r="H13" s="30">
        <v>1000000</v>
      </c>
      <c r="I13" s="31">
        <v>1000000</v>
      </c>
      <c r="J13" t="str">
        <f>_xll.BDP($A13&amp;" mtge","MTG WAL","ALLOW_DYNAMIC_CASHFLOW_CALCS ","Y","MTG PREPAY SPEED",D13,"MTG PREPAY TYP",$E13)</f>
        <v>#N/A N/A</v>
      </c>
      <c r="K13" s="2" t="str">
        <f>_xll.BDP($A13&amp;" mtge","MTG_NXT_PAY_DT_SET_DT ")</f>
        <v>8/25/2016</v>
      </c>
      <c r="L13" s="2" t="e">
        <f>MAX(#REF!)</f>
        <v>#REF!</v>
      </c>
      <c r="M13" t="str">
        <f>_xll.BDP(A13&amp;" mtge ISIN","Maturity")</f>
        <v>8/25/2023</v>
      </c>
      <c r="N13" t="e">
        <f t="shared" si="1"/>
        <v>#REF!</v>
      </c>
      <c r="O13" s="15" t="e">
        <f>#REF!+#REF!</f>
        <v>#REF!</v>
      </c>
      <c r="P13" s="22" t="e">
        <f t="shared" si="0"/>
        <v>#REF!</v>
      </c>
      <c r="Q13">
        <f>_xll.BDP(A13&amp;" mtge ISIN",$Q$4)</f>
        <v>0.1394978549</v>
      </c>
      <c r="R13" t="b">
        <f t="shared" si="2"/>
        <v>0</v>
      </c>
      <c r="S13" s="25"/>
      <c r="T13" s="26" t="str">
        <f t="shared" si="3"/>
        <v>NOT OK</v>
      </c>
      <c r="U13" s="26" t="s">
        <v>169</v>
      </c>
      <c r="V13" s="26" t="s">
        <v>169</v>
      </c>
      <c r="W13" s="26" t="s">
        <v>169</v>
      </c>
      <c r="X13" s="26"/>
      <c r="Y13" s="16" t="s">
        <v>169</v>
      </c>
      <c r="Z13" s="16" t="s">
        <v>169</v>
      </c>
    </row>
    <row r="14" spans="1:26" ht="13.5" thickBot="1">
      <c r="A14" s="12" t="s">
        <v>91</v>
      </c>
      <c r="B14" s="19" t="str">
        <f>_xll.BDP(A14&amp;" mtge ISIN",$B$4)</f>
        <v>ACCSS 2006-1 A3</v>
      </c>
      <c r="C14" s="20">
        <f>H14</f>
        <v>1000000</v>
      </c>
      <c r="D14" s="21">
        <v>0</v>
      </c>
      <c r="E14" s="21" t="s">
        <v>150</v>
      </c>
      <c r="F14" s="23" t="b">
        <v>1</v>
      </c>
      <c r="G14" s="24" t="b">
        <v>1</v>
      </c>
      <c r="H14" s="30">
        <v>1000000</v>
      </c>
      <c r="I14" s="31">
        <v>1000000</v>
      </c>
      <c r="J14" t="str">
        <f>_xll.BDP($A14&amp;" mtge","MTG WAL","ALLOW_DYNAMIC_CASHFLOW_CALCS ","Y","MTG PREPAY SPEED",D14,"MTG PREPAY TYP",$E14)</f>
        <v>#N/A N/A</v>
      </c>
      <c r="K14" s="2" t="str">
        <f>_xll.BDP($A14&amp;" mtge","MTG_NXT_PAY_DT_SET_DT ")</f>
        <v>8/25/2016</v>
      </c>
      <c r="L14" s="2" t="e">
        <f>MAX(#REF!)</f>
        <v>#REF!</v>
      </c>
      <c r="M14" t="str">
        <f>_xll.BDP(A14&amp;" mtge ISIN","Maturity")</f>
        <v>8/25/2037</v>
      </c>
      <c r="N14" t="e">
        <f t="shared" si="1"/>
        <v>#REF!</v>
      </c>
      <c r="O14" s="15" t="e">
        <f>#REF!+#REF!</f>
        <v>#REF!</v>
      </c>
      <c r="P14" s="22" t="e">
        <f t="shared" si="0"/>
        <v>#REF!</v>
      </c>
      <c r="Q14">
        <f>_xll.BDP(A14&amp;" mtge ISIN",$Q$4)</f>
        <v>1</v>
      </c>
      <c r="R14" t="b">
        <f t="shared" si="2"/>
        <v>0</v>
      </c>
      <c r="S14" s="25"/>
      <c r="T14" s="26" t="str">
        <f t="shared" si="3"/>
        <v>NOT OK</v>
      </c>
      <c r="U14" s="26" t="s">
        <v>169</v>
      </c>
      <c r="V14" s="26" t="s">
        <v>169</v>
      </c>
      <c r="W14" s="26" t="s">
        <v>169</v>
      </c>
      <c r="X14" s="26"/>
      <c r="Y14" t="s">
        <v>169</v>
      </c>
      <c r="Z14" t="s">
        <v>169</v>
      </c>
    </row>
    <row r="15" spans="1:26" ht="13.5" thickBot="1">
      <c r="A15" s="12" t="s">
        <v>177</v>
      </c>
      <c r="B15" s="19" t="str">
        <f>_xll.BDP(A15&amp;" mtge ISIN",$B$4)</f>
        <v>ACCSS 2007-1 A3</v>
      </c>
      <c r="C15" s="20">
        <f>I15</f>
        <v>1000000</v>
      </c>
      <c r="D15" s="21">
        <v>0</v>
      </c>
      <c r="E15" s="21" t="s">
        <v>151</v>
      </c>
      <c r="F15" s="23"/>
      <c r="G15" s="24" t="b">
        <v>1</v>
      </c>
      <c r="H15" s="30">
        <v>1000000</v>
      </c>
      <c r="I15" s="31">
        <v>1000000</v>
      </c>
      <c r="J15" t="str">
        <f>_xll.BDP($A15&amp;" mtge","MTG WAL","ALLOW_DYNAMIC_CASHFLOW_CALCS ","Y","MTG PREPAY SPEED",D15,"MTG PREPAY TYP",$E15)</f>
        <v>#N/A N/A</v>
      </c>
      <c r="K15" s="2" t="str">
        <f>_xll.BDP($A15&amp;" mtge","MTG_NXT_PAY_DT_SET_DT ")</f>
        <v>7/25/2016</v>
      </c>
      <c r="L15" s="2" t="e">
        <f>MAX(#REF!)</f>
        <v>#REF!</v>
      </c>
      <c r="M15" t="str">
        <f>_xll.BDP(A15&amp;" mtge ISIN","Maturity")</f>
        <v>4/25/2018</v>
      </c>
      <c r="N15" t="e">
        <f t="shared" si="1"/>
        <v>#REF!</v>
      </c>
      <c r="O15" s="15" t="e">
        <f>#REF!+#REF!</f>
        <v>#REF!</v>
      </c>
      <c r="P15" s="22" t="e">
        <f t="shared" si="0"/>
        <v>#REF!</v>
      </c>
      <c r="Q15">
        <f>_xll.BDP(A15&amp;" mtge ISIN",$Q$4)</f>
        <v>0.48480133800000003</v>
      </c>
      <c r="R15" t="b">
        <f t="shared" si="2"/>
        <v>0</v>
      </c>
      <c r="S15" s="25"/>
      <c r="T15" s="26" t="str">
        <f t="shared" si="3"/>
        <v>NOT OK</v>
      </c>
      <c r="U15" s="26"/>
      <c r="V15" s="26"/>
      <c r="W15" s="26"/>
      <c r="X15" s="26" t="s">
        <v>168</v>
      </c>
      <c r="Y15" s="16" t="s">
        <v>168</v>
      </c>
      <c r="Z15" s="16" t="s">
        <v>168</v>
      </c>
    </row>
    <row r="16" spans="1:26" ht="13.5" thickBot="1">
      <c r="A16" s="12" t="s">
        <v>178</v>
      </c>
      <c r="B16" s="19" t="str">
        <f>_xll.BDP(A16&amp;" mtge ISIN",$B$4)</f>
        <v>ACCSS 2007-1 A4</v>
      </c>
      <c r="C16" s="20">
        <f>I16</f>
        <v>1000000</v>
      </c>
      <c r="D16" s="21">
        <v>0</v>
      </c>
      <c r="E16" s="21" t="s">
        <v>151</v>
      </c>
      <c r="F16" s="23"/>
      <c r="G16" s="24" t="b">
        <v>1</v>
      </c>
      <c r="H16" s="30">
        <v>1000000</v>
      </c>
      <c r="I16" s="31">
        <v>1000000</v>
      </c>
      <c r="J16" t="str">
        <f>_xll.BDP($A16&amp;" mtge","MTG WAL","ALLOW_DYNAMIC_CASHFLOW_CALCS ","Y","MTG PREPAY SPEED",D16,"MTG PREPAY TYP",$E16)</f>
        <v>#N/A N/A</v>
      </c>
      <c r="K16" s="2" t="str">
        <f>_xll.BDP($A16&amp;" mtge","MTG_NXT_PAY_DT_SET_DT ")</f>
        <v>7/25/2016</v>
      </c>
      <c r="L16" s="2" t="e">
        <f>MAX(#REF!)</f>
        <v>#REF!</v>
      </c>
      <c r="M16" t="str">
        <f>_xll.BDP(A16&amp;" mtge ISIN","Maturity")</f>
        <v>1/25/2023</v>
      </c>
      <c r="N16" t="e">
        <f t="shared" si="1"/>
        <v>#REF!</v>
      </c>
      <c r="O16" s="15" t="e">
        <f>#REF!+#REF!</f>
        <v>#REF!</v>
      </c>
      <c r="P16" s="22" t="e">
        <f t="shared" si="0"/>
        <v>#REF!</v>
      </c>
      <c r="Q16">
        <f>_xll.BDP(A16&amp;" mtge ISIN",$Q$4)</f>
        <v>1</v>
      </c>
      <c r="R16" t="b">
        <f t="shared" si="2"/>
        <v>0</v>
      </c>
      <c r="S16" s="25"/>
      <c r="T16" s="26" t="str">
        <f t="shared" si="3"/>
        <v>NOT OK</v>
      </c>
      <c r="U16" s="26"/>
      <c r="V16" s="26"/>
      <c r="W16" s="26"/>
      <c r="X16" s="26" t="s">
        <v>168</v>
      </c>
      <c r="Y16" t="s">
        <v>168</v>
      </c>
      <c r="Z16" t="s">
        <v>168</v>
      </c>
    </row>
    <row r="17" spans="1:26" ht="13.5" thickBot="1">
      <c r="A17" s="6" t="s">
        <v>92</v>
      </c>
      <c r="B17" s="19" t="str">
        <f>_xll.BDP(A17&amp;" mtge ISIN",$B$4)</f>
        <v>ALGI 2006-1A A1</v>
      </c>
      <c r="C17" s="20">
        <f>H17</f>
        <v>1000000</v>
      </c>
      <c r="D17" s="21">
        <v>0</v>
      </c>
      <c r="E17" s="21" t="s">
        <v>150</v>
      </c>
      <c r="F17" s="23" t="b">
        <v>1</v>
      </c>
      <c r="G17" s="24"/>
      <c r="H17" s="30">
        <v>1000000</v>
      </c>
      <c r="I17" s="31">
        <v>1000000</v>
      </c>
      <c r="J17" t="str">
        <f>_xll.BDP($A17&amp;" mtge","MTG WAL","ALLOW_DYNAMIC_CASHFLOW_CALCS ","Y","MTG PREPAY SPEED",D17,"MTG PREPAY TYP",$E17)</f>
        <v>#N/A N/A</v>
      </c>
      <c r="K17" s="2" t="str">
        <f>_xll.BDP($A17&amp;" mtge","MTG_NXT_PAY_DT_SET_DT ")</f>
        <v>7/28/2016</v>
      </c>
      <c r="L17" s="2" t="e">
        <f>MAX(#REF!)</f>
        <v>#REF!</v>
      </c>
      <c r="M17" t="str">
        <f>_xll.BDP(A17&amp;" mtge ISIN","Maturity")</f>
        <v>10/28/2018</v>
      </c>
      <c r="N17" t="e">
        <f>(M17-L17)&gt;=0</f>
        <v>#REF!</v>
      </c>
      <c r="O17" s="15" t="e">
        <f>#REF!+#REF!</f>
        <v>#REF!</v>
      </c>
      <c r="P17" s="22" t="e">
        <f>O17/C17</f>
        <v>#REF!</v>
      </c>
      <c r="Q17">
        <f>_xll.BDP(A17&amp;" mtge ISIN",$Q$4)</f>
        <v>0</v>
      </c>
      <c r="R17" t="b">
        <f t="shared" si="2"/>
        <v>0</v>
      </c>
      <c r="S17" s="25"/>
      <c r="T17" s="26" t="str">
        <f t="shared" si="3"/>
        <v>NOT OK</v>
      </c>
      <c r="U17" s="26" t="s">
        <v>169</v>
      </c>
      <c r="V17" s="26" t="s">
        <v>169</v>
      </c>
      <c r="W17" s="26" t="s">
        <v>169</v>
      </c>
      <c r="X17" s="26"/>
      <c r="Y17" t="e">
        <v>#REF!</v>
      </c>
      <c r="Z17" t="e">
        <v>#REF!</v>
      </c>
    </row>
    <row r="18" spans="1:26" ht="13.5" thickBot="1">
      <c r="A18" s="12" t="s">
        <v>179</v>
      </c>
      <c r="B18" s="19" t="str">
        <f>_xll.BDP(A18&amp;" mtge ISIN",$B$4)</f>
        <v>ALGI 2006-1A A2</v>
      </c>
      <c r="C18" s="20">
        <f>I18</f>
        <v>1000000</v>
      </c>
      <c r="D18" s="21">
        <v>0</v>
      </c>
      <c r="E18" s="21" t="s">
        <v>150</v>
      </c>
      <c r="F18" s="23"/>
      <c r="G18" s="24" t="b">
        <v>1</v>
      </c>
      <c r="H18" s="30">
        <v>1000000</v>
      </c>
      <c r="I18" s="31">
        <v>1000000</v>
      </c>
      <c r="J18" t="str">
        <f>_xll.BDP($A18&amp;" mtge","MTG WAL","ALLOW_DYNAMIC_CASHFLOW_CALCS ","Y","MTG PREPAY SPEED",D18,"MTG PREPAY TYP",$E18)</f>
        <v>#N/A N/A</v>
      </c>
      <c r="K18" s="2" t="str">
        <f>_xll.BDP($A18&amp;" mtge","MTG_NXT_PAY_DT_SET_DT ")</f>
        <v>7/28/2016</v>
      </c>
      <c r="L18" s="2" t="e">
        <f>MAX(#REF!)</f>
        <v>#REF!</v>
      </c>
      <c r="M18" t="str">
        <f>_xll.BDP(A18&amp;" mtge ISIN","Maturity")</f>
        <v>4/28/2020</v>
      </c>
      <c r="N18" t="e">
        <f>(M18-L18)&gt;=0</f>
        <v>#REF!</v>
      </c>
      <c r="O18" s="15" t="e">
        <f>#REF!+#REF!</f>
        <v>#REF!</v>
      </c>
      <c r="P18" s="22" t="e">
        <f>O18/C18</f>
        <v>#REF!</v>
      </c>
      <c r="Q18">
        <f>_xll.BDP(A18&amp;" mtge ISIN",$Q$4)</f>
        <v>0</v>
      </c>
      <c r="R18" t="b">
        <f t="shared" si="2"/>
        <v>0</v>
      </c>
      <c r="S18" s="25"/>
      <c r="T18" s="26" t="str">
        <f t="shared" si="3"/>
        <v>NOT OK</v>
      </c>
      <c r="U18" s="26"/>
      <c r="V18" s="26"/>
      <c r="W18" s="26"/>
      <c r="X18" s="26"/>
      <c r="Y18" t="s">
        <v>169</v>
      </c>
      <c r="Z18" t="s">
        <v>169</v>
      </c>
    </row>
    <row r="19" spans="1:26" ht="13.5" thickBot="1">
      <c r="A19" s="12" t="s">
        <v>180</v>
      </c>
      <c r="B19" s="19" t="str">
        <f>_xll.BDP(A19&amp;" mtge ISIN",$B$4)</f>
        <v>ALGI 2006-1A A3</v>
      </c>
      <c r="C19" s="20">
        <f>H19</f>
        <v>1000000</v>
      </c>
      <c r="D19" s="21">
        <v>0</v>
      </c>
      <c r="E19" s="21" t="s">
        <v>150</v>
      </c>
      <c r="F19" s="23" t="b">
        <v>1</v>
      </c>
      <c r="G19" s="24" t="b">
        <v>1</v>
      </c>
      <c r="H19" s="30">
        <v>1000000</v>
      </c>
      <c r="I19" s="31">
        <v>1000000</v>
      </c>
      <c r="J19">
        <f>_xll.BDP($A19&amp;" mtge","MTG WAL","ALLOW_DYNAMIC_CASHFLOW_CALCS ","Y","MTG PREPAY SPEED",D19,"MTG PREPAY TYP",$E19)</f>
        <v>2.2000000000000002</v>
      </c>
      <c r="K19" s="2" t="str">
        <f>_xll.BDP($A19&amp;" mtge","MTG_NXT_PAY_DT_SET_DT ")</f>
        <v>7/28/2016</v>
      </c>
      <c r="L19" s="2" t="e">
        <f>MAX(#REF!)</f>
        <v>#REF!</v>
      </c>
      <c r="M19" t="str">
        <f>_xll.BDP(A19&amp;" mtge ISIN","Maturity")</f>
        <v>10/28/2023</v>
      </c>
      <c r="N19" t="e">
        <f>(M19-L19)&gt;=0</f>
        <v>#REF!</v>
      </c>
      <c r="O19" s="15" t="e">
        <f>#REF!+#REF!</f>
        <v>#REF!</v>
      </c>
      <c r="P19" s="22" t="e">
        <f>O19/C19</f>
        <v>#REF!</v>
      </c>
      <c r="Q19">
        <f>_xll.BDP(A19&amp;" mtge ISIN",$Q$4)</f>
        <v>0.85600000000000009</v>
      </c>
      <c r="R19" t="b">
        <f t="shared" si="2"/>
        <v>0</v>
      </c>
      <c r="S19" s="25"/>
      <c r="T19" s="26" t="str">
        <f t="shared" si="3"/>
        <v>NOT OK</v>
      </c>
      <c r="U19" s="26" t="s">
        <v>169</v>
      </c>
      <c r="V19" s="26" t="s">
        <v>169</v>
      </c>
      <c r="W19" s="26" t="s">
        <v>169</v>
      </c>
      <c r="X19" s="26"/>
      <c r="Y19" t="s">
        <v>169</v>
      </c>
      <c r="Z19" t="s">
        <v>169</v>
      </c>
    </row>
    <row r="20" spans="1:26" ht="13.5" thickBot="1">
      <c r="A20" s="12" t="s">
        <v>181</v>
      </c>
      <c r="B20" s="19" t="str">
        <f>_xll.BDP(A20&amp;" mtge ISIN",$B$4)</f>
        <v>ALGI 2006-1A A4</v>
      </c>
      <c r="C20" s="20">
        <f>I20</f>
        <v>1000000</v>
      </c>
      <c r="D20" s="21">
        <v>0</v>
      </c>
      <c r="E20" s="21" t="s">
        <v>150</v>
      </c>
      <c r="F20" s="23"/>
      <c r="G20" s="24" t="b">
        <v>1</v>
      </c>
      <c r="H20" s="30">
        <v>1000000</v>
      </c>
      <c r="I20" s="31">
        <v>1000000</v>
      </c>
      <c r="J20">
        <f>_xll.BDP($A20&amp;" mtge","MTG WAL","ALLOW_DYNAMIC_CASHFLOW_CALCS ","Y","MTG PREPAY SPEED",D20,"MTG PREPAY TYP",$E20)</f>
        <v>5.67</v>
      </c>
      <c r="K20" s="2" t="str">
        <f>_xll.BDP($A20&amp;" mtge","MTG_NXT_PAY_DT_SET_DT ")</f>
        <v>7/28/2016</v>
      </c>
      <c r="L20" s="2" t="e">
        <f>MAX(#REF!)</f>
        <v>#REF!</v>
      </c>
      <c r="M20" t="str">
        <f>_xll.BDP(A20&amp;" mtge ISIN","Maturity")</f>
        <v>10/28/2026</v>
      </c>
      <c r="N20" t="e">
        <f>(M20-L20)&gt;=0</f>
        <v>#REF!</v>
      </c>
      <c r="O20" s="15" t="e">
        <f>#REF!+#REF!</f>
        <v>#REF!</v>
      </c>
      <c r="P20" s="22" t="e">
        <f>O20/C20</f>
        <v>#REF!</v>
      </c>
      <c r="Q20">
        <f>_xll.BDP(A20&amp;" mtge ISIN",$Q$4)</f>
        <v>1</v>
      </c>
      <c r="R20" t="b">
        <f t="shared" si="2"/>
        <v>0</v>
      </c>
      <c r="S20" s="25"/>
      <c r="T20" s="26" t="str">
        <f t="shared" si="3"/>
        <v>NOT OK</v>
      </c>
      <c r="U20" s="26"/>
      <c r="V20" s="26"/>
      <c r="W20" s="26"/>
      <c r="X20" s="26"/>
      <c r="Y20" s="16" t="s">
        <v>169</v>
      </c>
      <c r="Z20" s="16" t="s">
        <v>169</v>
      </c>
    </row>
    <row r="21" spans="1:26" ht="13.5" thickBot="1">
      <c r="A21" s="13" t="s">
        <v>182</v>
      </c>
      <c r="B21" s="19" t="str">
        <f>_xll.BDP(A21&amp;" mtge ISIN",$B$4)</f>
        <v>AELMC 2003-C C1</v>
      </c>
      <c r="C21" s="20">
        <f>I21</f>
        <v>1000000</v>
      </c>
      <c r="D21" s="21">
        <v>0</v>
      </c>
      <c r="E21" s="21" t="s">
        <v>150</v>
      </c>
      <c r="F21" s="23"/>
      <c r="G21" s="24" t="b">
        <v>1</v>
      </c>
      <c r="H21" s="30">
        <v>1000000</v>
      </c>
      <c r="I21" s="31">
        <v>1000000</v>
      </c>
      <c r="J21" t="str">
        <f>_xll.BDP($A21&amp;" mtge","MTG WAL","ALLOW_DYNAMIC_CASHFLOW_CALCS ","Y","MTG PREPAY SPEED",D21,"MTG PREPAY TYP",$E21)</f>
        <v>#N/A N/A</v>
      </c>
      <c r="K21" s="2" t="str">
        <f>_xll.BDP($A21&amp;" mtge","MTG_NXT_PAY_DT_SET_DT ")</f>
        <v>9/1/2016</v>
      </c>
      <c r="L21" s="2" t="e">
        <f>MAX(#REF!)</f>
        <v>#REF!</v>
      </c>
      <c r="M21" t="str">
        <f>_xll.BDP(A21&amp;" mtge ISIN","Maturity")</f>
        <v>6/1/2023</v>
      </c>
      <c r="N21" t="e">
        <f>(M21-L21)&gt;=0</f>
        <v>#REF!</v>
      </c>
      <c r="O21" s="15" t="e">
        <f>#REF!+#REF!</f>
        <v>#REF!</v>
      </c>
      <c r="P21" s="22" t="e">
        <f>O21/C21</f>
        <v>#REF!</v>
      </c>
      <c r="Q21">
        <f>_xll.BDP(A21&amp;" mtge ISIN",$Q$4)</f>
        <v>0</v>
      </c>
      <c r="R21" t="b">
        <f t="shared" si="2"/>
        <v>0</v>
      </c>
      <c r="S21" s="25"/>
      <c r="T21" s="26" t="str">
        <f t="shared" si="3"/>
        <v>NOT OK</v>
      </c>
      <c r="U21" s="26"/>
      <c r="V21" s="26"/>
      <c r="W21" s="26"/>
      <c r="X21" s="26"/>
      <c r="Y21" t="s">
        <v>169</v>
      </c>
      <c r="Z21" t="s">
        <v>169</v>
      </c>
    </row>
    <row r="22" spans="1:26" ht="13.5" thickBot="1">
      <c r="A22" s="13" t="s">
        <v>183</v>
      </c>
      <c r="B22" s="19" t="str">
        <f>_xll.BDP(A22&amp;" mtge ISIN",$B$4)</f>
        <v>BRHEA 2005-2 A12</v>
      </c>
      <c r="C22" s="20">
        <f>H22</f>
        <v>1000000</v>
      </c>
      <c r="D22" s="21">
        <v>100</v>
      </c>
      <c r="E22" s="21" t="s">
        <v>152</v>
      </c>
      <c r="F22" s="23" t="b">
        <v>1</v>
      </c>
      <c r="G22" s="24" t="b">
        <v>1</v>
      </c>
      <c r="H22" s="30">
        <v>1000000</v>
      </c>
      <c r="I22" s="31">
        <v>1000000</v>
      </c>
      <c r="J22" t="str">
        <f>_xll.BDP($A22&amp;" mtge","MTG WAL","ALLOW_DYNAMIC_CASHFLOW_CALCS ","Y","MTG PREPAY SPEED",D22,"MTG PREPAY TYP",$E22)</f>
        <v>#N/A N/A</v>
      </c>
      <c r="K22" s="2" t="str">
        <f>_xll.BDP($A22&amp;" mtge","MTG_NXT_PAY_DT_SET_DT ")</f>
        <v>6/27/2016</v>
      </c>
      <c r="L22" s="2" t="e">
        <f>MAX(#REF!)</f>
        <v>#REF!</v>
      </c>
      <c r="M22" t="str">
        <f>_xll.BDP(A22&amp;" mtge ISIN","Maturity")</f>
        <v>3/27/2023</v>
      </c>
      <c r="N22" t="e">
        <f t="shared" ref="N22:N30" si="4">(M22-L22)&gt;=0</f>
        <v>#REF!</v>
      </c>
      <c r="O22" s="15" t="e">
        <f>#REF!+#REF!</f>
        <v>#REF!</v>
      </c>
      <c r="P22" s="22" t="e">
        <f t="shared" ref="P22:P30" si="5">O22/C22</f>
        <v>#REF!</v>
      </c>
      <c r="Q22">
        <f>_xll.BDP(A22&amp;" mtge ISIN",$Q$4)</f>
        <v>1</v>
      </c>
      <c r="R22" t="b">
        <f t="shared" si="2"/>
        <v>0</v>
      </c>
      <c r="S22" s="25"/>
      <c r="T22" s="26" t="str">
        <f t="shared" si="3"/>
        <v>NOT OK</v>
      </c>
      <c r="U22" s="26" t="s">
        <v>169</v>
      </c>
      <c r="V22" s="26" t="s">
        <v>169</v>
      </c>
      <c r="W22" s="26" t="s">
        <v>169</v>
      </c>
      <c r="X22" s="26"/>
      <c r="Y22" s="16" t="s">
        <v>169</v>
      </c>
      <c r="Z22" s="16" t="s">
        <v>169</v>
      </c>
    </row>
    <row r="23" spans="1:26" ht="13.5" thickBot="1">
      <c r="A23" s="13" t="s">
        <v>184</v>
      </c>
      <c r="B23" s="19" t="str">
        <f>_xll.BDP(A23&amp;" mtge ISIN",$B$4)</f>
        <v>BRHEA 2005-3 A15</v>
      </c>
      <c r="C23" s="20">
        <f>I23</f>
        <v>1000000</v>
      </c>
      <c r="D23" s="21">
        <v>50</v>
      </c>
      <c r="E23" s="21" t="s">
        <v>152</v>
      </c>
      <c r="F23" s="23"/>
      <c r="G23" s="24" t="b">
        <v>1</v>
      </c>
      <c r="H23" s="30">
        <v>1000000</v>
      </c>
      <c r="I23" s="31">
        <v>1000000</v>
      </c>
      <c r="J23" t="str">
        <f>_xll.BDP($A23&amp;" mtge","MTG WAL","ALLOW_DYNAMIC_CASHFLOW_CALCS ","Y","MTG PREPAY SPEED",D23,"MTG PREPAY TYP",$E23)</f>
        <v>#N/A N/A</v>
      </c>
      <c r="K23" s="2" t="str">
        <f>_xll.BDP($A23&amp;" mtge","MTG_NXT_PAY_DT_SET_DT ")</f>
        <v>6/27/2016</v>
      </c>
      <c r="L23" s="2" t="e">
        <f>MAX(#REF!)</f>
        <v>#REF!</v>
      </c>
      <c r="M23" t="str">
        <f>_xll.BDP(A23&amp;" mtge ISIN","Maturity")</f>
        <v>3/25/2025</v>
      </c>
      <c r="N23" t="e">
        <f t="shared" si="4"/>
        <v>#REF!</v>
      </c>
      <c r="O23" s="15" t="e">
        <f>#REF!+#REF!</f>
        <v>#REF!</v>
      </c>
      <c r="P23" s="22" t="e">
        <f t="shared" si="5"/>
        <v>#REF!</v>
      </c>
      <c r="Q23">
        <f>_xll.BDP(A23&amp;" mtge ISIN",$Q$4)</f>
        <v>0.2612083</v>
      </c>
      <c r="R23" t="b">
        <f t="shared" si="2"/>
        <v>0</v>
      </c>
      <c r="S23" s="25"/>
      <c r="T23" s="26" t="str">
        <f t="shared" si="3"/>
        <v>NOT OK</v>
      </c>
      <c r="U23" s="26"/>
      <c r="V23" s="26"/>
      <c r="W23" s="26"/>
      <c r="X23" s="26"/>
      <c r="Y23" t="s">
        <v>169</v>
      </c>
      <c r="Z23" t="s">
        <v>169</v>
      </c>
    </row>
    <row r="24" spans="1:26" ht="13.5" thickBot="1">
      <c r="A24" s="13" t="s">
        <v>185</v>
      </c>
      <c r="B24" s="19" t="str">
        <f>_xll.BDP(A24&amp;" mtge ISIN",$B$4)</f>
        <v>BRHEA 2005-3 A16</v>
      </c>
      <c r="C24" s="20">
        <f>H24</f>
        <v>1000000</v>
      </c>
      <c r="D24" s="21">
        <v>50</v>
      </c>
      <c r="E24" s="21" t="s">
        <v>152</v>
      </c>
      <c r="F24" s="23" t="b">
        <v>1</v>
      </c>
      <c r="G24" s="24" t="b">
        <v>1</v>
      </c>
      <c r="H24" s="30">
        <v>1000000</v>
      </c>
      <c r="I24" s="31">
        <v>1000000</v>
      </c>
      <c r="J24" t="str">
        <f>_xll.BDP($A24&amp;" mtge","MTG WAL","ALLOW_DYNAMIC_CASHFLOW_CALCS ","Y","MTG PREPAY SPEED",D24,"MTG PREPAY TYP",$E24)</f>
        <v>#N/A N/A</v>
      </c>
      <c r="K24" s="2" t="str">
        <f>_xll.BDP($A24&amp;" mtge","MTG_NXT_PAY_DT_SET_DT ")</f>
        <v>6/27/2016</v>
      </c>
      <c r="L24" s="2" t="e">
        <f>MAX(#REF!)</f>
        <v>#REF!</v>
      </c>
      <c r="M24" t="str">
        <f>_xll.BDP(A24&amp;" mtge ISIN","Maturity")</f>
        <v>6/25/2026</v>
      </c>
      <c r="N24" t="e">
        <f t="shared" si="4"/>
        <v>#REF!</v>
      </c>
      <c r="O24" s="15" t="e">
        <f>#REF!+#REF!</f>
        <v>#REF!</v>
      </c>
      <c r="P24" s="22" t="e">
        <f t="shared" si="5"/>
        <v>#REF!</v>
      </c>
      <c r="Q24">
        <f>_xll.BDP(A24&amp;" mtge ISIN",$Q$4)</f>
        <v>1</v>
      </c>
      <c r="R24" t="b">
        <f t="shared" si="2"/>
        <v>0</v>
      </c>
      <c r="S24" s="25"/>
      <c r="T24" s="26" t="str">
        <f t="shared" si="3"/>
        <v>NOT OK</v>
      </c>
      <c r="U24" s="26" t="s">
        <v>169</v>
      </c>
      <c r="V24" s="26" t="s">
        <v>169</v>
      </c>
      <c r="W24" s="26" t="s">
        <v>169</v>
      </c>
      <c r="X24" s="26"/>
      <c r="Y24" t="s">
        <v>169</v>
      </c>
      <c r="Z24" t="s">
        <v>169</v>
      </c>
    </row>
    <row r="25" spans="1:26" ht="13.5" thickBot="1">
      <c r="A25" s="13" t="s">
        <v>186</v>
      </c>
      <c r="B25" s="19" t="str">
        <f>_xll.BDP(A25&amp;" mtge ISIN",$B$4)</f>
        <v>BRHEA 2006-1 A2</v>
      </c>
      <c r="C25" s="20">
        <f>I25</f>
        <v>1000000</v>
      </c>
      <c r="D25" s="21">
        <v>100</v>
      </c>
      <c r="E25" s="21" t="s">
        <v>152</v>
      </c>
      <c r="F25" s="23"/>
      <c r="G25" s="24" t="b">
        <v>1</v>
      </c>
      <c r="H25" s="30">
        <v>1000000</v>
      </c>
      <c r="I25" s="31">
        <v>1000000</v>
      </c>
      <c r="J25" t="str">
        <f>_xll.BDP($A25&amp;" mtge","MTG WAL","ALLOW_DYNAMIC_CASHFLOW_CALCS ","Y","MTG PREPAY SPEED",D25,"MTG PREPAY TYP",$E25)</f>
        <v>#N/A N/A</v>
      </c>
      <c r="K25" s="2" t="str">
        <f>_xll.BDP($A25&amp;" mtge","MTG_NXT_PAY_DT_SET_DT ")</f>
        <v>6/27/2016</v>
      </c>
      <c r="L25" s="2" t="e">
        <f>MAX(#REF!)</f>
        <v>#REF!</v>
      </c>
      <c r="M25" t="str">
        <f>_xll.BDP(A25&amp;" mtge ISIN","Maturity")</f>
        <v>6/25/2023</v>
      </c>
      <c r="N25" t="e">
        <f t="shared" si="4"/>
        <v>#REF!</v>
      </c>
      <c r="O25" s="15" t="e">
        <f>#REF!+#REF!</f>
        <v>#REF!</v>
      </c>
      <c r="P25" s="22" t="e">
        <f t="shared" si="5"/>
        <v>#REF!</v>
      </c>
      <c r="Q25">
        <f>_xll.BDP(A25&amp;" mtge ISIN",$Q$4)</f>
        <v>0</v>
      </c>
      <c r="R25" t="b">
        <f t="shared" si="2"/>
        <v>0</v>
      </c>
      <c r="S25" s="25"/>
      <c r="T25" s="26" t="str">
        <f t="shared" si="3"/>
        <v>NOT OK</v>
      </c>
      <c r="U25" s="26"/>
      <c r="V25" s="26"/>
      <c r="W25" s="26"/>
      <c r="X25" s="26"/>
      <c r="Y25" t="s">
        <v>169</v>
      </c>
      <c r="Z25" t="s">
        <v>169</v>
      </c>
    </row>
    <row r="26" spans="1:26" ht="13.5" thickBot="1">
      <c r="A26" s="7" t="s">
        <v>93</v>
      </c>
      <c r="B26" s="19" t="str">
        <f>_xll.BDP(A26&amp;" mtge ISIN",$B$4)</f>
        <v>BRHEA 2006-1 A3</v>
      </c>
      <c r="C26" s="20">
        <f>H26</f>
        <v>1000000</v>
      </c>
      <c r="D26" s="21">
        <v>100</v>
      </c>
      <c r="E26" s="21" t="s">
        <v>152</v>
      </c>
      <c r="F26" s="23" t="b">
        <v>1</v>
      </c>
      <c r="G26" s="24"/>
      <c r="H26" s="30">
        <v>1000000</v>
      </c>
      <c r="I26" s="31">
        <v>1000000</v>
      </c>
      <c r="J26" t="str">
        <f>_xll.BDP($A26&amp;" mtge","MTG WAL","ALLOW_DYNAMIC_CASHFLOW_CALCS ","Y","MTG PREPAY SPEED",D26,"MTG PREPAY TYP",$E26)</f>
        <v>#N/A N/A</v>
      </c>
      <c r="K26" s="2" t="str">
        <f>_xll.BDP($A26&amp;" mtge","MTG_NXT_PAY_DT_SET_DT ")</f>
        <v>6/27/2016</v>
      </c>
      <c r="L26" s="2" t="e">
        <f>MAX(#REF!)</f>
        <v>#REF!</v>
      </c>
      <c r="M26" s="3" t="str">
        <f>_xll.BDP(A26&amp;" mtge ISIN","Maturity")</f>
        <v>12/26/2024</v>
      </c>
      <c r="N26" t="e">
        <f t="shared" si="4"/>
        <v>#REF!</v>
      </c>
      <c r="O26" s="15" t="e">
        <f>#REF!+#REF!</f>
        <v>#REF!</v>
      </c>
      <c r="P26" s="22" t="e">
        <f t="shared" si="5"/>
        <v>#REF!</v>
      </c>
      <c r="Q26">
        <f>_xll.BDP(A26&amp;" mtge ISIN",$Q$4)</f>
        <v>0.50698882140000001</v>
      </c>
      <c r="R26" t="b">
        <f t="shared" si="2"/>
        <v>0</v>
      </c>
      <c r="S26" s="25"/>
      <c r="T26" s="26" t="str">
        <f t="shared" si="3"/>
        <v>NOT OK</v>
      </c>
      <c r="U26" s="26" t="s">
        <v>169</v>
      </c>
      <c r="V26" s="26" t="s">
        <v>169</v>
      </c>
      <c r="W26" s="26" t="s">
        <v>169</v>
      </c>
      <c r="X26" s="26"/>
      <c r="Y26" t="e">
        <v>#REF!</v>
      </c>
      <c r="Z26" t="e">
        <v>#REF!</v>
      </c>
    </row>
    <row r="27" spans="1:26" ht="13.5" thickBot="1">
      <c r="A27" s="13" t="s">
        <v>187</v>
      </c>
      <c r="B27" s="19" t="str">
        <f>_xll.BDP(A27&amp;" mtge ISIN",$B$4)</f>
        <v>BRHEA 2006-2 A10</v>
      </c>
      <c r="C27" s="20">
        <f>H27</f>
        <v>1000000</v>
      </c>
      <c r="D27" s="21">
        <v>100</v>
      </c>
      <c r="E27" s="21" t="s">
        <v>152</v>
      </c>
      <c r="F27" s="23" t="b">
        <v>1</v>
      </c>
      <c r="G27" s="24" t="b">
        <v>1</v>
      </c>
      <c r="H27" s="30">
        <v>1000000</v>
      </c>
      <c r="I27" s="31">
        <v>1000000</v>
      </c>
      <c r="J27" t="str">
        <f>_xll.BDP($A27&amp;" mtge","MTG WAL","ALLOW_DYNAMIC_CASHFLOW_CALCS ","Y","MTG PREPAY SPEED",D27,"MTG PREPAY TYP",$E27)</f>
        <v>#N/A N/A</v>
      </c>
      <c r="K27" s="2" t="str">
        <f>_xll.BDP($A27&amp;" mtge","MTG_NXT_PAY_DT_SET_DT ")</f>
        <v>6/27/2016</v>
      </c>
      <c r="L27" s="2" t="e">
        <f>MAX(#REF!)</f>
        <v>#REF!</v>
      </c>
      <c r="M27" t="str">
        <f>_xll.BDP(A27&amp;" mtge ISIN","Maturity")</f>
        <v>6/25/2026</v>
      </c>
      <c r="N27" t="e">
        <f t="shared" si="4"/>
        <v>#REF!</v>
      </c>
      <c r="O27" s="15" t="e">
        <f>#REF!+#REF!</f>
        <v>#REF!</v>
      </c>
      <c r="P27" s="22" t="e">
        <f t="shared" si="5"/>
        <v>#REF!</v>
      </c>
      <c r="Q27">
        <f>_xll.BDP(A27&amp;" mtge ISIN",$Q$4)</f>
        <v>1</v>
      </c>
      <c r="R27" t="b">
        <f t="shared" si="2"/>
        <v>0</v>
      </c>
      <c r="S27" s="25"/>
      <c r="T27" s="26" t="str">
        <f t="shared" si="3"/>
        <v>NOT OK</v>
      </c>
      <c r="U27" s="26" t="s">
        <v>169</v>
      </c>
      <c r="V27" s="26" t="s">
        <v>169</v>
      </c>
      <c r="W27" s="26" t="s">
        <v>169</v>
      </c>
      <c r="X27" s="26"/>
      <c r="Y27" s="16" t="s">
        <v>169</v>
      </c>
      <c r="Z27" s="16" t="s">
        <v>169</v>
      </c>
    </row>
    <row r="28" spans="1:26" ht="13.5" thickBot="1">
      <c r="A28" s="35" t="s">
        <v>188</v>
      </c>
      <c r="B28" s="19" t="str">
        <f>_xll.BDP(A28&amp;" mtge ISIN",$B$4)</f>
        <v>BRHEA 2004-I A2</v>
      </c>
      <c r="C28" s="20">
        <f>I28</f>
        <v>1000000</v>
      </c>
      <c r="D28" s="21">
        <v>100</v>
      </c>
      <c r="E28" s="21" t="s">
        <v>152</v>
      </c>
      <c r="F28" s="23"/>
      <c r="G28" s="24" t="b">
        <v>1</v>
      </c>
      <c r="H28" s="30">
        <v>1000000</v>
      </c>
      <c r="I28" s="31">
        <v>1000000</v>
      </c>
      <c r="J28" t="str">
        <f>_xll.BDP($A28&amp;" mtge","MTG WAL","ALLOW_DYNAMIC_CASHFLOW_CALCS ","Y","MTG PREPAY SPEED",D28,"MTG PREPAY TYP",$E28)</f>
        <v>#N/A N/A</v>
      </c>
      <c r="K28" s="2" t="str">
        <f>_xll.BDP($A28&amp;" mtge","MTG_NXT_PAY_DT_SET_DT ")</f>
        <v>6/27/2016</v>
      </c>
      <c r="L28" s="2" t="e">
        <f>MAX(#REF!)</f>
        <v>#REF!</v>
      </c>
      <c r="M28" t="str">
        <f>_xll.BDP(A28&amp;" mtge ISIN","Maturity")</f>
        <v>6/27/2022</v>
      </c>
      <c r="N28" t="e">
        <f t="shared" si="4"/>
        <v>#REF!</v>
      </c>
      <c r="O28" s="15" t="e">
        <f>#REF!+#REF!</f>
        <v>#REF!</v>
      </c>
      <c r="P28" s="22" t="e">
        <f t="shared" si="5"/>
        <v>#REF!</v>
      </c>
      <c r="Q28">
        <f>_xll.BDP(A28&amp;" mtge ISIN",$Q$4)</f>
        <v>0</v>
      </c>
      <c r="R28" t="b">
        <f t="shared" si="2"/>
        <v>0</v>
      </c>
      <c r="S28" s="25"/>
      <c r="T28" s="26" t="str">
        <f t="shared" si="3"/>
        <v>NOT OK</v>
      </c>
      <c r="U28" s="26"/>
      <c r="V28" s="26"/>
      <c r="W28" s="26"/>
      <c r="X28" s="26"/>
      <c r="Y28" t="s">
        <v>169</v>
      </c>
      <c r="Z28" t="s">
        <v>169</v>
      </c>
    </row>
    <row r="29" spans="1:26" ht="13.5" thickBot="1">
      <c r="A29" s="13" t="s">
        <v>189</v>
      </c>
      <c r="B29" s="19" t="str">
        <f>_xll.BDP(A29&amp;" mtge ISIN",$B$4)</f>
        <v>BRHEA 2005-1 1A4</v>
      </c>
      <c r="C29" s="20">
        <f>I29</f>
        <v>1000000</v>
      </c>
      <c r="D29" s="21">
        <v>50</v>
      </c>
      <c r="E29" s="21" t="s">
        <v>151</v>
      </c>
      <c r="F29" s="23"/>
      <c r="G29" s="24" t="b">
        <v>1</v>
      </c>
      <c r="H29" s="30">
        <v>1000000</v>
      </c>
      <c r="I29" s="31">
        <v>1000000</v>
      </c>
      <c r="J29" t="str">
        <f>_xll.BDP($A29&amp;" mtge","MTG WAL","ALLOW_DYNAMIC_CASHFLOW_CALCS ","Y","MTG PREPAY SPEED",D29,"MTG PREPAY TYP",$E29)</f>
        <v>#N/A N/A</v>
      </c>
      <c r="K29" s="2" t="str">
        <f>_xll.BDP($A29&amp;" mtge","MTG_NXT_PAY_DT_SET_DT ")</f>
        <v>6/27/2016</v>
      </c>
      <c r="L29" s="2" t="e">
        <f>MAX(#REF!)</f>
        <v>#REF!</v>
      </c>
      <c r="M29" t="str">
        <f>_xll.BDP(A29&amp;" mtge ISIN","Maturity")</f>
        <v>3/26/2029</v>
      </c>
      <c r="N29" t="e">
        <f t="shared" si="4"/>
        <v>#REF!</v>
      </c>
      <c r="O29" s="15" t="e">
        <f>#REF!+#REF!</f>
        <v>#REF!</v>
      </c>
      <c r="P29" s="22" t="e">
        <f t="shared" si="5"/>
        <v>#REF!</v>
      </c>
      <c r="Q29">
        <f>_xll.BDP(A29&amp;" mtge ISIN",$Q$4)</f>
        <v>1</v>
      </c>
      <c r="R29" t="b">
        <f t="shared" si="2"/>
        <v>0</v>
      </c>
      <c r="S29" s="25"/>
      <c r="T29" s="26" t="str">
        <f t="shared" si="3"/>
        <v>NOT OK</v>
      </c>
      <c r="U29" s="26"/>
      <c r="V29" s="26"/>
      <c r="W29" s="26"/>
      <c r="X29" s="26"/>
      <c r="Y29" s="16" t="s">
        <v>169</v>
      </c>
      <c r="Z29" s="16" t="s">
        <v>169</v>
      </c>
    </row>
    <row r="30" spans="1:26" ht="13.5" thickBot="1">
      <c r="A30" s="35" t="s">
        <v>190</v>
      </c>
      <c r="B30" s="19" t="str">
        <f>_xll.BDP(A30&amp;" mtge ISIN",$B$4)</f>
        <v>CITEL 2005-1 A3</v>
      </c>
      <c r="C30" s="20">
        <f>I30</f>
        <v>1000000</v>
      </c>
      <c r="D30" s="21">
        <v>50</v>
      </c>
      <c r="E30" s="21" t="s">
        <v>152</v>
      </c>
      <c r="F30" s="23"/>
      <c r="G30" s="24" t="b">
        <v>1</v>
      </c>
      <c r="H30" s="30">
        <v>1000000</v>
      </c>
      <c r="I30" s="31">
        <v>1000000</v>
      </c>
      <c r="J30" t="str">
        <f>_xll.BDP($A30&amp;" mtge","MTG WAL","ALLOW_DYNAMIC_CASHFLOW_CALCS ","Y","MTG PREPAY SPEED",D30,"MTG PREPAY TYP",$E30)</f>
        <v>#N/A N/A</v>
      </c>
      <c r="K30" s="2" t="str">
        <f>_xll.BDP($A30&amp;" mtge","MTG_NXT_PAY_DT_SET_DT ")</f>
        <v>6/15/2016</v>
      </c>
      <c r="L30" s="2" t="e">
        <f>MAX(#REF!)</f>
        <v>#REF!</v>
      </c>
      <c r="M30" t="str">
        <f>_xll.BDP(A30&amp;" mtge ISIN","Maturity")</f>
        <v>3/15/2026</v>
      </c>
      <c r="N30" t="e">
        <f t="shared" si="4"/>
        <v>#REF!</v>
      </c>
      <c r="O30" s="15" t="e">
        <f>#REF!+#REF!</f>
        <v>#REF!</v>
      </c>
      <c r="P30" s="22" t="e">
        <f t="shared" si="5"/>
        <v>#REF!</v>
      </c>
      <c r="Q30">
        <f>_xll.BDP(A30&amp;" mtge ISIN",$Q$4)</f>
        <v>0.45643417269999997</v>
      </c>
      <c r="R30" t="b">
        <f t="shared" si="2"/>
        <v>0</v>
      </c>
      <c r="S30" s="25"/>
      <c r="T30" s="26" t="str">
        <f t="shared" si="3"/>
        <v>NOT OK</v>
      </c>
      <c r="U30" s="26"/>
      <c r="V30" s="26"/>
      <c r="W30" s="26"/>
      <c r="X30" s="26"/>
      <c r="Y30" t="s">
        <v>169</v>
      </c>
      <c r="Z30" t="s">
        <v>169</v>
      </c>
    </row>
    <row r="31" spans="1:26" ht="13.5" thickBot="1">
      <c r="A31" s="13" t="s">
        <v>191</v>
      </c>
      <c r="B31" s="19" t="str">
        <f>_xll.BDP(A31&amp;" mtge ISIN",$B$4)</f>
        <v>CITEL 2005-1 A4</v>
      </c>
      <c r="C31" s="20">
        <f>I31</f>
        <v>1000000</v>
      </c>
      <c r="D31" s="21">
        <v>50</v>
      </c>
      <c r="E31" s="21" t="s">
        <v>152</v>
      </c>
      <c r="F31" s="23"/>
      <c r="G31" s="24" t="b">
        <v>1</v>
      </c>
      <c r="H31" s="30">
        <v>1000000</v>
      </c>
      <c r="I31" s="31">
        <v>1000000</v>
      </c>
      <c r="J31" t="str">
        <f>_xll.BDP($A31&amp;" mtge","MTG WAL","ALLOW_DYNAMIC_CASHFLOW_CALCS ","Y","MTG PREPAY SPEED",D31,"MTG PREPAY TYP",$E31)</f>
        <v>#N/A N/A</v>
      </c>
      <c r="K31" s="2" t="str">
        <f>_xll.BDP($A31&amp;" mtge","MTG_NXT_PAY_DT_SET_DT ")</f>
        <v>6/15/2016</v>
      </c>
      <c r="L31" s="2" t="e">
        <f>MAX(#REF!)</f>
        <v>#REF!</v>
      </c>
      <c r="M31" t="str">
        <f>_xll.BDP(A31&amp;" mtge ISIN","Maturity")</f>
        <v>12/15/2033</v>
      </c>
      <c r="N31" t="e">
        <f>(M31-L31)&gt;=0</f>
        <v>#REF!</v>
      </c>
      <c r="O31" s="15" t="e">
        <f>#REF!+#REF!</f>
        <v>#REF!</v>
      </c>
      <c r="P31" s="22" t="e">
        <f>O31/C31</f>
        <v>#REF!</v>
      </c>
      <c r="Q31">
        <f>_xll.BDP(A31&amp;" mtge ISIN",$Q$4)</f>
        <v>1</v>
      </c>
      <c r="R31" t="b">
        <f t="shared" si="2"/>
        <v>0</v>
      </c>
      <c r="S31" s="25"/>
      <c r="T31" s="26" t="str">
        <f t="shared" si="3"/>
        <v>NOT OK</v>
      </c>
      <c r="U31" s="26"/>
      <c r="V31" s="26"/>
      <c r="W31" s="26"/>
      <c r="X31" s="26"/>
      <c r="Y31" t="s">
        <v>169</v>
      </c>
      <c r="Z31" t="s">
        <v>169</v>
      </c>
    </row>
    <row r="32" spans="1:26" ht="13.5" thickBot="1">
      <c r="A32" s="13" t="s">
        <v>94</v>
      </c>
      <c r="B32" s="19" t="str">
        <f>_xll.BDP(A32&amp;" mtge ISIN",$B$4)</f>
        <v>CEDLT 2007-A A2</v>
      </c>
      <c r="C32" s="20">
        <f>I32</f>
        <v>1000000</v>
      </c>
      <c r="D32" s="21">
        <v>0</v>
      </c>
      <c r="E32" s="21" t="s">
        <v>150</v>
      </c>
      <c r="F32" s="23"/>
      <c r="G32" s="24" t="b">
        <v>1</v>
      </c>
      <c r="H32" s="30">
        <v>1000000</v>
      </c>
      <c r="I32" s="31">
        <v>1000000</v>
      </c>
      <c r="J32" t="str">
        <f>_xll.BDP($A32&amp;" mtge","MTG WAL","ALLOW_DYNAMIC_CASHFLOW_CALCS ","Y","MTG PREPAY SPEED",D32,"MTG PREPAY TYP",$E32)</f>
        <v>#N/A N/A</v>
      </c>
      <c r="K32" s="2" t="str">
        <f>_xll.BDP($A32&amp;" mtge","MTG_NXT_PAY_DT_SET_DT ")</f>
        <v>6/28/2016</v>
      </c>
      <c r="L32" s="2" t="e">
        <f>MAX(#REF!)</f>
        <v>#REF!</v>
      </c>
      <c r="M32" t="str">
        <f>_xll.BDP(A32&amp;" mtge ISIN","Maturity")</f>
        <v>3/30/2020</v>
      </c>
      <c r="N32" t="e">
        <f t="shared" ref="N32:N95" si="6">(M32-L32)&gt;=0</f>
        <v>#REF!</v>
      </c>
      <c r="O32" s="15" t="e">
        <f>#REF!+#REF!</f>
        <v>#REF!</v>
      </c>
      <c r="P32" s="22" t="e">
        <f t="shared" ref="P32:P95" si="7">O32/C32</f>
        <v>#REF!</v>
      </c>
      <c r="Q32">
        <f>_xll.BDP(A32&amp;" mtge ISIN",$Q$4)</f>
        <v>0</v>
      </c>
      <c r="R32" t="b">
        <f t="shared" si="2"/>
        <v>0</v>
      </c>
      <c r="S32" s="25"/>
      <c r="T32" s="26" t="str">
        <f t="shared" si="3"/>
        <v>NOT OK</v>
      </c>
      <c r="U32" s="26"/>
      <c r="V32" s="26"/>
      <c r="W32" s="26"/>
      <c r="X32" s="26"/>
      <c r="Y32" t="s">
        <v>169</v>
      </c>
      <c r="Z32" t="s">
        <v>169</v>
      </c>
    </row>
    <row r="33" spans="1:26" ht="13.5" thickBot="1">
      <c r="A33" s="13" t="s">
        <v>95</v>
      </c>
      <c r="B33" s="19" t="str">
        <f>_xll.BDP(A33&amp;" mtge ISIN",$B$4)</f>
        <v>CEDLT 2007-A A3</v>
      </c>
      <c r="C33" s="20">
        <f>H33</f>
        <v>1000000</v>
      </c>
      <c r="D33" s="21">
        <v>0</v>
      </c>
      <c r="E33" s="21" t="s">
        <v>150</v>
      </c>
      <c r="F33" s="23" t="b">
        <v>1</v>
      </c>
      <c r="G33" s="24" t="b">
        <v>1</v>
      </c>
      <c r="H33" s="30">
        <v>1000000</v>
      </c>
      <c r="I33" s="31">
        <v>1000000</v>
      </c>
      <c r="J33" t="str">
        <f>_xll.BDP($A33&amp;" mtge","MTG WAL","ALLOW_DYNAMIC_CASHFLOW_CALCS ","Y","MTG PREPAY SPEED",D33,"MTG PREPAY TYP",$E33)</f>
        <v>#N/A N/A</v>
      </c>
      <c r="K33" s="2" t="str">
        <f>_xll.BDP($A33&amp;" mtge","MTG_NXT_PAY_DT_SET_DT ")</f>
        <v>6/28/2016</v>
      </c>
      <c r="L33" s="2" t="e">
        <f>MAX(#REF!)</f>
        <v>#REF!</v>
      </c>
      <c r="M33" t="str">
        <f>_xll.BDP(A33&amp;" mtge ISIN","Maturity")</f>
        <v>12/28/2023</v>
      </c>
      <c r="N33" t="e">
        <f t="shared" si="6"/>
        <v>#REF!</v>
      </c>
      <c r="O33" s="15" t="e">
        <f>#REF!+#REF!</f>
        <v>#REF!</v>
      </c>
      <c r="P33" s="22" t="e">
        <f t="shared" si="7"/>
        <v>#REF!</v>
      </c>
      <c r="Q33">
        <f>_xll.BDP(A33&amp;" mtge ISIN",$Q$4)</f>
        <v>0.77881851670000002</v>
      </c>
      <c r="R33" t="b">
        <f t="shared" si="2"/>
        <v>0</v>
      </c>
      <c r="S33" s="25"/>
      <c r="T33" s="26" t="str">
        <f t="shared" si="3"/>
        <v>NOT OK</v>
      </c>
      <c r="U33" s="26" t="s">
        <v>169</v>
      </c>
      <c r="V33" s="26" t="s">
        <v>169</v>
      </c>
      <c r="W33" s="26" t="s">
        <v>169</v>
      </c>
      <c r="X33" s="26"/>
      <c r="Y33" t="s">
        <v>169</v>
      </c>
      <c r="Z33" t="s">
        <v>169</v>
      </c>
    </row>
    <row r="34" spans="1:26" ht="13.5" thickBot="1">
      <c r="A34" s="13" t="s">
        <v>96</v>
      </c>
      <c r="B34" s="19" t="str">
        <f>_xll.BDP(A34&amp;" mtge ISIN",$B$4)</f>
        <v>CEDLT 2007-A A4</v>
      </c>
      <c r="C34" s="20">
        <f>I34</f>
        <v>1000000</v>
      </c>
      <c r="D34" s="21">
        <v>0</v>
      </c>
      <c r="E34" s="21" t="s">
        <v>150</v>
      </c>
      <c r="F34" s="23"/>
      <c r="G34" s="24" t="b">
        <v>1</v>
      </c>
      <c r="H34" s="30">
        <v>1000000</v>
      </c>
      <c r="I34" s="31">
        <v>1000000</v>
      </c>
      <c r="J34" t="str">
        <f>_xll.BDP($A34&amp;" mtge","MTG WAL","ALLOW_DYNAMIC_CASHFLOW_CALCS ","Y","MTG PREPAY SPEED",D34,"MTG PREPAY TYP",$E34)</f>
        <v>#N/A N/A</v>
      </c>
      <c r="K34" s="2" t="str">
        <f>_xll.BDP($A34&amp;" mtge","MTG_NXT_PAY_DT_SET_DT ")</f>
        <v>6/28/2016</v>
      </c>
      <c r="L34" s="2" t="e">
        <f>MAX(#REF!)</f>
        <v>#REF!</v>
      </c>
      <c r="M34" t="str">
        <f>_xll.BDP(A34&amp;" mtge ISIN","Maturity")</f>
        <v>6/28/2039</v>
      </c>
      <c r="N34" t="e">
        <f t="shared" si="6"/>
        <v>#REF!</v>
      </c>
      <c r="O34" s="15" t="e">
        <f>#REF!+#REF!</f>
        <v>#REF!</v>
      </c>
      <c r="P34" s="22" t="e">
        <f t="shared" si="7"/>
        <v>#REF!</v>
      </c>
      <c r="Q34">
        <f>_xll.BDP(A34&amp;" mtge ISIN",$Q$4)</f>
        <v>1</v>
      </c>
      <c r="R34" t="b">
        <f t="shared" si="2"/>
        <v>0</v>
      </c>
      <c r="S34" s="25"/>
      <c r="T34" s="26" t="str">
        <f t="shared" si="3"/>
        <v>NOT OK</v>
      </c>
      <c r="U34" s="26"/>
      <c r="V34" s="26"/>
      <c r="W34" s="26"/>
      <c r="X34" s="26"/>
      <c r="Y34" s="16" t="s">
        <v>169</v>
      </c>
      <c r="Z34" s="16" t="s">
        <v>169</v>
      </c>
    </row>
    <row r="35" spans="1:26" ht="13.5" thickBot="1">
      <c r="A35" s="13" t="s">
        <v>192</v>
      </c>
      <c r="B35" s="19" t="str">
        <f>_xll.BDP(A35&amp;" mtge ISIN",$B$4)</f>
        <v>CITEL 2007-1 A</v>
      </c>
      <c r="C35" s="20">
        <f>I35</f>
        <v>1000000</v>
      </c>
      <c r="D35" s="21">
        <v>0</v>
      </c>
      <c r="E35" s="21" t="s">
        <v>150</v>
      </c>
      <c r="F35" s="23"/>
      <c r="G35" s="24" t="b">
        <v>1</v>
      </c>
      <c r="H35" s="30">
        <v>1000000</v>
      </c>
      <c r="I35" s="31">
        <v>1000000</v>
      </c>
      <c r="J35" t="str">
        <f>_xll.BDP($A35&amp;" mtge","MTG WAL","ALLOW_DYNAMIC_CASHFLOW_CALCS ","Y","MTG PREPAY SPEED",D35,"MTG PREPAY TYP",$E35)</f>
        <v>#N/A N/A</v>
      </c>
      <c r="K35" s="2" t="str">
        <f>_xll.BDP($A35&amp;" mtge","MTG_NXT_PAY_DT_SET_DT ")</f>
        <v>6/27/2016</v>
      </c>
      <c r="L35" s="2" t="e">
        <f>MAX(#REF!)</f>
        <v>#REF!</v>
      </c>
      <c r="M35" t="str">
        <f>_xll.BDP(A35&amp;" mtge ISIN","Maturity")</f>
        <v>3/25/2042</v>
      </c>
      <c r="N35" t="e">
        <f t="shared" si="6"/>
        <v>#REF!</v>
      </c>
      <c r="O35" s="15" t="e">
        <f>#REF!+#REF!</f>
        <v>#REF!</v>
      </c>
      <c r="P35" s="22" t="e">
        <f t="shared" si="7"/>
        <v>#REF!</v>
      </c>
      <c r="Q35">
        <f>_xll.BDP(A35&amp;" mtge ISIN",$Q$4)</f>
        <v>0.43420000079999999</v>
      </c>
      <c r="R35" t="b">
        <f t="shared" si="2"/>
        <v>0</v>
      </c>
      <c r="S35" s="25"/>
      <c r="T35" s="26" t="str">
        <f t="shared" si="3"/>
        <v>NOT OK</v>
      </c>
      <c r="U35" s="26"/>
      <c r="V35" s="26"/>
      <c r="W35" s="26"/>
      <c r="X35" s="56" t="s">
        <v>32</v>
      </c>
      <c r="Y35" t="s">
        <v>168</v>
      </c>
      <c r="Z35" t="s">
        <v>168</v>
      </c>
    </row>
    <row r="36" spans="1:26" ht="13.5" thickBot="1">
      <c r="A36" s="13" t="s">
        <v>97</v>
      </c>
      <c r="B36" s="19" t="str">
        <f>_xll.BDP(A36&amp;" mtge ISIN",$B$4)</f>
        <v>COLLE 2005-1 A2</v>
      </c>
      <c r="C36" s="20">
        <f>I36</f>
        <v>1000000</v>
      </c>
      <c r="D36" s="21">
        <v>50</v>
      </c>
      <c r="E36" s="21" t="s">
        <v>152</v>
      </c>
      <c r="F36" s="23"/>
      <c r="G36" s="24" t="b">
        <v>1</v>
      </c>
      <c r="H36" s="30">
        <v>1000000</v>
      </c>
      <c r="I36" s="31">
        <v>1000000</v>
      </c>
      <c r="J36" t="str">
        <f>_xll.BDP($A36&amp;" mtge","MTG WAL","ALLOW_DYNAMIC_CASHFLOW_CALCS ","Y","MTG PREPAY SPEED",D36,"MTG PREPAY TYP",$E36)</f>
        <v>#N/A N/A</v>
      </c>
      <c r="K36" s="2" t="str">
        <f>_xll.BDP($A36&amp;" mtge","MTG_NXT_PAY_DT_SET_DT ")</f>
        <v>7/25/2016</v>
      </c>
      <c r="L36" s="2" t="e">
        <f>MAX(#REF!)</f>
        <v>#REF!</v>
      </c>
      <c r="M36" t="str">
        <f>_xll.BDP(A36&amp;" mtge ISIN","Maturity")</f>
        <v>7/25/2024</v>
      </c>
      <c r="N36" t="e">
        <f t="shared" si="6"/>
        <v>#REF!</v>
      </c>
      <c r="O36" s="15" t="e">
        <f>#REF!+#REF!</f>
        <v>#REF!</v>
      </c>
      <c r="P36" s="22" t="e">
        <f t="shared" si="7"/>
        <v>#REF!</v>
      </c>
      <c r="Q36">
        <f>_xll.BDP(A36&amp;" mtge ISIN",$Q$4)</f>
        <v>0</v>
      </c>
      <c r="R36" t="b">
        <f t="shared" si="2"/>
        <v>0</v>
      </c>
      <c r="S36" s="25"/>
      <c r="T36" s="26" t="str">
        <f t="shared" si="3"/>
        <v>NOT OK</v>
      </c>
      <c r="U36" s="26"/>
      <c r="V36" s="26"/>
      <c r="W36" s="26"/>
      <c r="X36" s="26"/>
      <c r="Y36" s="16" t="s">
        <v>169</v>
      </c>
      <c r="Z36" s="16" t="s">
        <v>169</v>
      </c>
    </row>
    <row r="37" spans="1:26" ht="13.5" thickBot="1">
      <c r="A37" s="13" t="s">
        <v>98</v>
      </c>
      <c r="B37" s="19" t="str">
        <f>_xll.BDP(A37&amp;" mtge ISIN",$B$4)</f>
        <v>COLLE 2005-1 A3</v>
      </c>
      <c r="C37" s="20">
        <f>I37</f>
        <v>1000000</v>
      </c>
      <c r="D37" s="21">
        <v>50</v>
      </c>
      <c r="E37" s="21" t="s">
        <v>152</v>
      </c>
      <c r="F37" s="23"/>
      <c r="G37" s="24" t="b">
        <v>1</v>
      </c>
      <c r="H37" s="30">
        <v>1000000</v>
      </c>
      <c r="I37" s="31">
        <v>1000000</v>
      </c>
      <c r="J37" t="str">
        <f>_xll.BDP($A37&amp;" mtge","MTG WAL","ALLOW_DYNAMIC_CASHFLOW_CALCS ","Y","MTG PREPAY SPEED",D37,"MTG PREPAY TYP",$E37)</f>
        <v>#N/A N/A</v>
      </c>
      <c r="K37" s="2" t="str">
        <f>_xll.BDP($A37&amp;" mtge","MTG_NXT_PAY_DT_SET_DT ")</f>
        <v>7/25/2016</v>
      </c>
      <c r="L37" s="2" t="e">
        <f>MAX(#REF!)</f>
        <v>#REF!</v>
      </c>
      <c r="M37" t="str">
        <f>_xll.BDP(A37&amp;" mtge ISIN","Maturity")</f>
        <v>10/25/2025</v>
      </c>
      <c r="N37" t="e">
        <f t="shared" si="6"/>
        <v>#REF!</v>
      </c>
      <c r="O37" s="15" t="e">
        <f>#REF!+#REF!</f>
        <v>#REF!</v>
      </c>
      <c r="P37" s="22" t="e">
        <f t="shared" si="7"/>
        <v>#REF!</v>
      </c>
      <c r="Q37">
        <f>_xll.BDP(A37&amp;" mtge ISIN",$Q$4)</f>
        <v>0.2</v>
      </c>
      <c r="R37" t="b">
        <f t="shared" si="2"/>
        <v>0</v>
      </c>
      <c r="S37" s="25"/>
      <c r="T37" s="26" t="str">
        <f t="shared" si="3"/>
        <v>NOT OK</v>
      </c>
      <c r="U37" s="26"/>
      <c r="V37" s="26"/>
      <c r="W37" s="26"/>
      <c r="X37" s="26"/>
      <c r="Y37" t="s">
        <v>169</v>
      </c>
      <c r="Z37" t="s">
        <v>169</v>
      </c>
    </row>
    <row r="38" spans="1:26" ht="13.5" thickBot="1">
      <c r="A38" s="13" t="s">
        <v>99</v>
      </c>
      <c r="B38" s="19" t="str">
        <f>_xll.BDP(A38&amp;" mtge ISIN",$B$4)</f>
        <v>COLLE 2005-1 A5</v>
      </c>
      <c r="C38" s="20">
        <f>I38</f>
        <v>1000000</v>
      </c>
      <c r="D38" s="21">
        <v>50</v>
      </c>
      <c r="E38" s="21" t="s">
        <v>152</v>
      </c>
      <c r="F38" s="23"/>
      <c r="G38" s="24" t="b">
        <v>1</v>
      </c>
      <c r="H38" s="30">
        <v>1000000</v>
      </c>
      <c r="I38" s="31">
        <v>1000000</v>
      </c>
      <c r="J38" t="str">
        <f>_xll.BDP($A38&amp;" mtge","MTG WAL","ALLOW_DYNAMIC_CASHFLOW_CALCS ","Y","MTG PREPAY SPEED",D38,"MTG PREPAY TYP",$E38)</f>
        <v>#N/A N/A</v>
      </c>
      <c r="K38" s="2" t="str">
        <f>_xll.BDP($A38&amp;" mtge","MTG_NXT_PAY_DT_SET_DT ")</f>
        <v>7/25/2016</v>
      </c>
      <c r="L38" s="2" t="e">
        <f>MAX(#REF!)</f>
        <v>#REF!</v>
      </c>
      <c r="M38" t="str">
        <f>_xll.BDP(A38&amp;" mtge ISIN","Maturity")</f>
        <v>10/25/2030</v>
      </c>
      <c r="N38" t="e">
        <f t="shared" si="6"/>
        <v>#REF!</v>
      </c>
      <c r="O38" s="15" t="e">
        <f>#REF!+#REF!</f>
        <v>#REF!</v>
      </c>
      <c r="P38" s="22" t="e">
        <f t="shared" si="7"/>
        <v>#REF!</v>
      </c>
      <c r="Q38">
        <f>_xll.BDP(A38&amp;" mtge ISIN",$Q$4)</f>
        <v>1</v>
      </c>
      <c r="R38" t="b">
        <f t="shared" si="2"/>
        <v>0</v>
      </c>
      <c r="S38" s="25"/>
      <c r="T38" s="26" t="str">
        <f t="shared" si="3"/>
        <v>NOT OK</v>
      </c>
      <c r="U38" s="26"/>
      <c r="V38" s="26"/>
      <c r="W38" s="26"/>
      <c r="X38" s="26"/>
      <c r="Y38" t="s">
        <v>169</v>
      </c>
      <c r="Z38" t="s">
        <v>169</v>
      </c>
    </row>
    <row r="39" spans="1:26" ht="13.5" thickBot="1">
      <c r="A39" s="13" t="s">
        <v>193</v>
      </c>
      <c r="B39" s="19" t="str">
        <f>_xll.BDP(A39&amp;" mtge ISIN",$B$4)</f>
        <v>COLLE 2006-1 A3</v>
      </c>
      <c r="C39" s="20">
        <f>H39</f>
        <v>1000000</v>
      </c>
      <c r="D39" s="21">
        <v>50</v>
      </c>
      <c r="E39" s="21" t="s">
        <v>152</v>
      </c>
      <c r="F39" s="23" t="b">
        <v>1</v>
      </c>
      <c r="G39" s="24" t="b">
        <v>1</v>
      </c>
      <c r="H39" s="30">
        <v>1000000</v>
      </c>
      <c r="I39" s="31">
        <v>1000000</v>
      </c>
      <c r="J39" t="str">
        <f>_xll.BDP($A39&amp;" mtge","MTG WAL","ALLOW_DYNAMIC_CASHFLOW_CALCS ","Y","MTG PREPAY SPEED",D39,"MTG PREPAY TYP",$E39)</f>
        <v>#N/A N/A</v>
      </c>
      <c r="K39" s="2" t="str">
        <f>_xll.BDP($A39&amp;" mtge","MTG_NXT_PAY_DT_SET_DT ")</f>
        <v>7/25/2016</v>
      </c>
      <c r="L39" s="2" t="e">
        <f>MAX(#REF!)</f>
        <v>#REF!</v>
      </c>
      <c r="M39" t="str">
        <f>_xll.BDP(A39&amp;" mtge ISIN","Maturity")</f>
        <v>10/25/2025</v>
      </c>
      <c r="N39" t="e">
        <f t="shared" si="6"/>
        <v>#REF!</v>
      </c>
      <c r="O39" s="15" t="e">
        <f>#REF!+#REF!</f>
        <v>#REF!</v>
      </c>
      <c r="P39" s="22" t="e">
        <f t="shared" si="7"/>
        <v>#REF!</v>
      </c>
      <c r="Q39">
        <f>_xll.BDP(A39&amp;" mtge ISIN",$Q$4)</f>
        <v>0</v>
      </c>
      <c r="R39" t="b">
        <f t="shared" si="2"/>
        <v>0</v>
      </c>
      <c r="S39" s="25"/>
      <c r="T39" s="26" t="str">
        <f t="shared" si="3"/>
        <v>NOT OK</v>
      </c>
      <c r="U39" s="26" t="s">
        <v>169</v>
      </c>
      <c r="V39" s="26" t="s">
        <v>169</v>
      </c>
      <c r="W39" s="26" t="s">
        <v>169</v>
      </c>
      <c r="X39" s="26"/>
      <c r="Y39" t="s">
        <v>169</v>
      </c>
      <c r="Z39" t="s">
        <v>169</v>
      </c>
    </row>
    <row r="40" spans="1:26" ht="13.5" thickBot="1">
      <c r="A40" s="36" t="s">
        <v>194</v>
      </c>
      <c r="B40" s="19" t="str">
        <f>_xll.BDP(A40&amp;" mtge ISIN",$B$4)</f>
        <v>COLLE 2006-1 A4</v>
      </c>
      <c r="C40" s="20">
        <f>H40</f>
        <v>1000000</v>
      </c>
      <c r="D40" s="21">
        <v>50</v>
      </c>
      <c r="E40" s="21" t="s">
        <v>152</v>
      </c>
      <c r="F40" s="23" t="b">
        <v>1</v>
      </c>
      <c r="G40" s="24"/>
      <c r="H40" s="30">
        <v>1000000</v>
      </c>
      <c r="I40" s="31">
        <v>1000000</v>
      </c>
      <c r="J40" t="str">
        <f>_xll.BDP($A40&amp;" mtge","MTG WAL","ALLOW_DYNAMIC_CASHFLOW_CALCS ","Y","MTG PREPAY SPEED",D40,"MTG PREPAY TYP",$E40)</f>
        <v>#N/A N/A</v>
      </c>
      <c r="K40" s="2" t="str">
        <f>_xll.BDP($A40&amp;" mtge","MTG_NXT_PAY_DT_SET_DT ")</f>
        <v>7/25/2016</v>
      </c>
      <c r="L40" s="2" t="e">
        <f>MAX(#REF!)</f>
        <v>#REF!</v>
      </c>
      <c r="M40" t="str">
        <f>_xll.BDP(A40&amp;" mtge ISIN","Maturity")</f>
        <v>1/25/2027</v>
      </c>
      <c r="N40" t="e">
        <f t="shared" si="6"/>
        <v>#REF!</v>
      </c>
      <c r="O40" s="15" t="e">
        <f>#REF!+#REF!</f>
        <v>#REF!</v>
      </c>
      <c r="P40" s="22" t="e">
        <f t="shared" si="7"/>
        <v>#REF!</v>
      </c>
      <c r="Q40">
        <f>_xll.BDP(A40&amp;" mtge ISIN",$Q$4)</f>
        <v>1</v>
      </c>
      <c r="R40" t="b">
        <f t="shared" si="2"/>
        <v>0</v>
      </c>
      <c r="S40" s="25"/>
      <c r="T40" s="26" t="str">
        <f t="shared" si="3"/>
        <v>NOT OK</v>
      </c>
      <c r="U40" s="26" t="s">
        <v>169</v>
      </c>
      <c r="V40" s="26" t="s">
        <v>169</v>
      </c>
      <c r="W40" s="26" t="s">
        <v>169</v>
      </c>
      <c r="X40" s="26"/>
      <c r="Y40" t="e">
        <v>#REF!</v>
      </c>
      <c r="Z40" t="e">
        <v>#REF!</v>
      </c>
    </row>
    <row r="41" spans="1:26" ht="13.5" thickBot="1">
      <c r="A41" s="13" t="s">
        <v>195</v>
      </c>
      <c r="B41" s="19" t="str">
        <f>_xll.BDP(A41&amp;" mtge ISIN",$B$4)</f>
        <v>COLLE 2006-1 A5</v>
      </c>
      <c r="C41" s="20">
        <f>H41</f>
        <v>1000000</v>
      </c>
      <c r="D41" s="21">
        <v>50</v>
      </c>
      <c r="E41" s="21" t="s">
        <v>152</v>
      </c>
      <c r="F41" s="23" t="b">
        <v>1</v>
      </c>
      <c r="G41" s="24" t="b">
        <v>1</v>
      </c>
      <c r="H41" s="30">
        <v>1000000</v>
      </c>
      <c r="I41" s="31">
        <v>1000000</v>
      </c>
      <c r="J41">
        <f>_xll.BDP($A41&amp;" mtge","MTG WAL","ALLOW_DYNAMIC_CASHFLOW_CALCS ","Y","MTG PREPAY SPEED",D41,"MTG PREPAY TYP",$E41)</f>
        <v>1.8900000000000001</v>
      </c>
      <c r="K41" s="2" t="str">
        <f>_xll.BDP($A41&amp;" mtge","MTG_NXT_PAY_DT_SET_DT ")</f>
        <v>7/25/2016</v>
      </c>
      <c r="L41" s="2" t="e">
        <f>MAX(#REF!)</f>
        <v>#REF!</v>
      </c>
      <c r="M41" t="str">
        <f>_xll.BDP(A41&amp;" mtge ISIN","Maturity")</f>
        <v>7/25/2028</v>
      </c>
      <c r="N41" t="e">
        <f t="shared" si="6"/>
        <v>#REF!</v>
      </c>
      <c r="O41" s="15" t="e">
        <f>#REF!+#REF!</f>
        <v>#REF!</v>
      </c>
      <c r="P41" s="22" t="e">
        <f t="shared" si="7"/>
        <v>#REF!</v>
      </c>
      <c r="Q41">
        <f>_xll.BDP(A41&amp;" mtge ISIN",$Q$4)</f>
        <v>1</v>
      </c>
      <c r="R41" t="b">
        <f t="shared" si="2"/>
        <v>0</v>
      </c>
      <c r="S41" s="25"/>
      <c r="T41" s="26" t="str">
        <f t="shared" si="3"/>
        <v>NOT OK</v>
      </c>
      <c r="U41" s="26" t="s">
        <v>169</v>
      </c>
      <c r="V41" s="26" t="s">
        <v>169</v>
      </c>
      <c r="W41" s="26" t="s">
        <v>169</v>
      </c>
      <c r="X41" s="26"/>
      <c r="Y41" s="16" t="s">
        <v>169</v>
      </c>
      <c r="Z41" s="16" t="s">
        <v>169</v>
      </c>
    </row>
    <row r="42" spans="1:26" ht="13.5" thickBot="1">
      <c r="A42" s="13" t="s">
        <v>196</v>
      </c>
      <c r="B42" s="19" t="str">
        <f>_xll.BDP(A42&amp;" mtge ISIN",$B$4)</f>
        <v>COLLE 2006-1 A6</v>
      </c>
      <c r="C42" s="20">
        <f t="shared" ref="C42:C48" si="8">I42</f>
        <v>1000000</v>
      </c>
      <c r="D42" s="21">
        <v>50</v>
      </c>
      <c r="E42" s="21" t="s">
        <v>152</v>
      </c>
      <c r="F42" s="23"/>
      <c r="G42" s="24" t="b">
        <v>1</v>
      </c>
      <c r="H42" s="30">
        <v>1000000</v>
      </c>
      <c r="I42" s="31">
        <v>1000000</v>
      </c>
      <c r="J42">
        <f>_xll.BDP($A42&amp;" mtge","MTG WAL","ALLOW_DYNAMIC_CASHFLOW_CALCS ","Y","MTG PREPAY SPEED",D42,"MTG PREPAY TYP",$E42)</f>
        <v>4.9000000000000004</v>
      </c>
      <c r="K42" s="2" t="str">
        <f>_xll.BDP($A42&amp;" mtge","MTG_NXT_PAY_DT_SET_DT ")</f>
        <v>7/25/2016</v>
      </c>
      <c r="L42" s="2" t="e">
        <f>MAX(#REF!)</f>
        <v>#REF!</v>
      </c>
      <c r="M42" t="str">
        <f>_xll.BDP(A42&amp;" mtge ISIN","Maturity")</f>
        <v>1/25/2034</v>
      </c>
      <c r="N42" t="e">
        <f t="shared" si="6"/>
        <v>#REF!</v>
      </c>
      <c r="O42" s="15" t="e">
        <f>#REF!+#REF!</f>
        <v>#REF!</v>
      </c>
      <c r="P42" s="22" t="e">
        <f t="shared" si="7"/>
        <v>#REF!</v>
      </c>
      <c r="Q42">
        <f>_xll.BDP(A42&amp;" mtge ISIN",$Q$4)</f>
        <v>1</v>
      </c>
      <c r="R42" t="b">
        <f t="shared" si="2"/>
        <v>0</v>
      </c>
      <c r="S42" s="25"/>
      <c r="T42" s="26" t="str">
        <f t="shared" si="3"/>
        <v>NOT OK</v>
      </c>
      <c r="U42" s="26"/>
      <c r="V42" s="26"/>
      <c r="W42" s="26"/>
      <c r="X42" s="26"/>
      <c r="Y42" t="s">
        <v>169</v>
      </c>
      <c r="Z42" t="s">
        <v>169</v>
      </c>
    </row>
    <row r="43" spans="1:26" ht="13.5" thickBot="1">
      <c r="A43" s="7" t="s">
        <v>100</v>
      </c>
      <c r="B43" s="19" t="str">
        <f>_xll.BDP(A43&amp;" mtge ISIN",$B$4)</f>
        <v>COLLE 2005-2 A2</v>
      </c>
      <c r="C43" s="20">
        <f t="shared" si="8"/>
        <v>1000000</v>
      </c>
      <c r="D43" s="21" t="s">
        <v>28</v>
      </c>
      <c r="E43" s="21" t="s">
        <v>150</v>
      </c>
      <c r="F43" s="23" t="b">
        <v>1</v>
      </c>
      <c r="G43" s="24"/>
      <c r="H43" s="30">
        <v>1000000</v>
      </c>
      <c r="I43" s="31">
        <v>1000000</v>
      </c>
      <c r="J43" t="str">
        <f>_xll.BDP($A43&amp;" mtge","MTG WAL","ALLOW_DYNAMIC_CASHFLOW_CALCS ","Y","MTG PREPAY SPEED",D43,"MTG PREPAY TYP",$E43)</f>
        <v>#N/A N/A</v>
      </c>
      <c r="K43" s="2" t="str">
        <f>_xll.BDP($A43&amp;" mtge","MTG_NXT_PAY_DT_SET_DT ")</f>
        <v>7/15/2016</v>
      </c>
      <c r="L43" s="2" t="e">
        <f>MAX(#REF!)</f>
        <v>#REF!</v>
      </c>
      <c r="M43" t="str">
        <f>_xll.BDP(A43&amp;" mtge ISIN","Maturity")</f>
        <v>10/15/2021</v>
      </c>
      <c r="N43" t="e">
        <f t="shared" si="6"/>
        <v>#REF!</v>
      </c>
      <c r="O43" s="15" t="e">
        <f>#REF!+#REF!</f>
        <v>#REF!</v>
      </c>
      <c r="P43" s="22" t="e">
        <f t="shared" si="7"/>
        <v>#REF!</v>
      </c>
      <c r="Q43">
        <f>_xll.BDP(A43&amp;" mtge ISIN",$Q$4)</f>
        <v>0</v>
      </c>
      <c r="R43" t="b">
        <f t="shared" si="2"/>
        <v>0</v>
      </c>
      <c r="S43" s="25"/>
      <c r="T43" s="26" t="str">
        <f t="shared" si="3"/>
        <v>NOT OK</v>
      </c>
      <c r="U43" s="56" t="s">
        <v>32</v>
      </c>
      <c r="V43" s="56" t="s">
        <v>32</v>
      </c>
      <c r="W43" s="56" t="s">
        <v>32</v>
      </c>
      <c r="X43" s="26"/>
      <c r="Y43" s="16" t="e">
        <v>#REF!</v>
      </c>
      <c r="Z43" s="16" t="e">
        <v>#REF!</v>
      </c>
    </row>
    <row r="44" spans="1:26" ht="13.5" thickBot="1">
      <c r="A44" s="13" t="s">
        <v>197</v>
      </c>
      <c r="B44" s="19" t="str">
        <f>_xll.BDP(A44&amp;" mtge ISIN",$B$4)</f>
        <v>COLLE 2005-2 A4</v>
      </c>
      <c r="C44" s="20">
        <f t="shared" si="8"/>
        <v>1000000</v>
      </c>
      <c r="D44" s="21" t="s">
        <v>28</v>
      </c>
      <c r="E44" s="21" t="s">
        <v>150</v>
      </c>
      <c r="F44" s="23"/>
      <c r="G44" s="24" t="b">
        <v>1</v>
      </c>
      <c r="H44" s="30">
        <v>1000000</v>
      </c>
      <c r="I44" s="31">
        <v>1000000</v>
      </c>
      <c r="J44" t="str">
        <f>_xll.BDP($A44&amp;" mtge","MTG WAL","ALLOW_DYNAMIC_CASHFLOW_CALCS ","Y","MTG PREPAY SPEED",D44,"MTG PREPAY TYP",$E44)</f>
        <v>#N/A N/A</v>
      </c>
      <c r="K44" s="2" t="str">
        <f>_xll.BDP($A44&amp;" mtge","MTG_NXT_PAY_DT_SET_DT ")</f>
        <v>7/15/2016</v>
      </c>
      <c r="L44" s="2" t="e">
        <f>MAX(#REF!)</f>
        <v>#REF!</v>
      </c>
      <c r="M44" t="str">
        <f>_xll.BDP(A44&amp;" mtge ISIN","Maturity")</f>
        <v>1/15/2037</v>
      </c>
      <c r="N44" t="e">
        <f t="shared" si="6"/>
        <v>#REF!</v>
      </c>
      <c r="O44" s="15" t="e">
        <f>#REF!+#REF!</f>
        <v>#REF!</v>
      </c>
      <c r="P44" s="22" t="e">
        <f t="shared" si="7"/>
        <v>#REF!</v>
      </c>
      <c r="Q44">
        <f>_xll.BDP(A44&amp;" mtge ISIN",$Q$4)</f>
        <v>1</v>
      </c>
      <c r="R44" t="b">
        <f t="shared" si="2"/>
        <v>0</v>
      </c>
      <c r="S44" s="25"/>
      <c r="T44" s="26" t="str">
        <f t="shared" si="3"/>
        <v>NOT OK</v>
      </c>
      <c r="U44" s="26"/>
      <c r="V44" s="26"/>
      <c r="W44" s="26"/>
      <c r="X44" s="26"/>
      <c r="Y44" t="s">
        <v>169</v>
      </c>
      <c r="Z44" t="s">
        <v>169</v>
      </c>
    </row>
    <row r="45" spans="1:26" ht="13.5" thickBot="1">
      <c r="A45" s="13" t="s">
        <v>101</v>
      </c>
      <c r="B45" s="19" t="str">
        <f>_xll.BDP(A45&amp;" mtge ISIN",$B$4)</f>
        <v>COLLE 2007-1 A2</v>
      </c>
      <c r="C45" s="20">
        <f t="shared" si="8"/>
        <v>1000000</v>
      </c>
      <c r="D45" s="21" t="s">
        <v>29</v>
      </c>
      <c r="E45" s="21" t="s">
        <v>152</v>
      </c>
      <c r="F45" s="23"/>
      <c r="G45" s="24" t="b">
        <v>1</v>
      </c>
      <c r="H45" s="30">
        <v>1000000</v>
      </c>
      <c r="I45" s="31">
        <v>1000000</v>
      </c>
      <c r="J45" t="str">
        <f>_xll.BDP($A45&amp;" mtge","MTG WAL","ALLOW_DYNAMIC_CASHFLOW_CALCS ","Y","MTG PREPAY SPEED",D45,"MTG PREPAY TYP",$E45)</f>
        <v>#N/A N/A</v>
      </c>
      <c r="K45" s="2" t="str">
        <f>_xll.BDP($A45&amp;" mtge","MTG_NXT_PAY_DT_SET_DT ")</f>
        <v>7/25/2016</v>
      </c>
      <c r="L45" s="2" t="e">
        <f>MAX(#REF!)</f>
        <v>#REF!</v>
      </c>
      <c r="M45" t="str">
        <f>_xll.BDP(A45&amp;" mtge ISIN","Maturity")</f>
        <v>7/25/2026</v>
      </c>
      <c r="N45" t="e">
        <f t="shared" si="6"/>
        <v>#REF!</v>
      </c>
      <c r="O45" s="15" t="e">
        <f>#REF!+#REF!</f>
        <v>#REF!</v>
      </c>
      <c r="P45" s="22" t="e">
        <f t="shared" si="7"/>
        <v>#REF!</v>
      </c>
      <c r="Q45">
        <f>_xll.BDP(A45&amp;" mtge ISIN",$Q$4)</f>
        <v>0</v>
      </c>
      <c r="R45" t="b">
        <f t="shared" si="2"/>
        <v>0</v>
      </c>
      <c r="S45" s="25"/>
      <c r="T45" s="26" t="str">
        <f t="shared" si="3"/>
        <v>NOT OK</v>
      </c>
      <c r="U45" s="26"/>
      <c r="V45" s="26"/>
      <c r="W45" s="26"/>
      <c r="X45" s="26"/>
      <c r="Y45" t="s">
        <v>169</v>
      </c>
      <c r="Z45" t="s">
        <v>169</v>
      </c>
    </row>
    <row r="46" spans="1:26" ht="13.5" thickBot="1">
      <c r="A46" s="13" t="s">
        <v>198</v>
      </c>
      <c r="B46" s="19" t="str">
        <f>_xll.BDP(A46&amp;" mtge ISIN",$B$4)</f>
        <v>COELT 2004-A A4</v>
      </c>
      <c r="C46" s="20">
        <f t="shared" si="8"/>
        <v>1000000</v>
      </c>
      <c r="D46" s="21">
        <v>0</v>
      </c>
      <c r="E46" s="21" t="s">
        <v>150</v>
      </c>
      <c r="F46" s="23"/>
      <c r="G46" s="24" t="b">
        <v>1</v>
      </c>
      <c r="H46" s="30">
        <v>1000000</v>
      </c>
      <c r="I46" s="31">
        <v>1000000</v>
      </c>
      <c r="J46">
        <f>_xll.BDP($A46&amp;" mtge","MTG WAL","ALLOW_DYNAMIC_CASHFLOW_CALCS ","Y","MTG PREPAY SPEED",D46,"MTG PREPAY TYP",$E46)</f>
        <v>7.73</v>
      </c>
      <c r="K46" s="2" t="str">
        <f>_xll.BDP($A46&amp;" mtge","MTG_NXT_PAY_DT_SET_DT ")</f>
        <v>6/28/2016</v>
      </c>
      <c r="L46" s="2" t="e">
        <f>MAX(#REF!)</f>
        <v>#REF!</v>
      </c>
      <c r="M46" t="str">
        <f>_xll.BDP(A46&amp;" mtge ISIN","Maturity")</f>
        <v>9/28/2030</v>
      </c>
      <c r="N46" t="e">
        <f t="shared" si="6"/>
        <v>#REF!</v>
      </c>
      <c r="O46" s="15" t="e">
        <f>#REF!+#REF!</f>
        <v>#REF!</v>
      </c>
      <c r="P46" s="22" t="e">
        <f t="shared" si="7"/>
        <v>#REF!</v>
      </c>
      <c r="Q46">
        <f>_xll.BDP(A46&amp;" mtge ISIN",$Q$4)</f>
        <v>1</v>
      </c>
      <c r="R46" t="b">
        <f t="shared" si="2"/>
        <v>0</v>
      </c>
      <c r="S46" s="25"/>
      <c r="T46" s="26" t="str">
        <f t="shared" si="3"/>
        <v>NOT OK</v>
      </c>
      <c r="U46" s="26"/>
      <c r="V46" s="26"/>
      <c r="W46" s="26"/>
      <c r="X46" s="26"/>
      <c r="Y46" t="s">
        <v>169</v>
      </c>
      <c r="Z46" t="s">
        <v>169</v>
      </c>
    </row>
    <row r="47" spans="1:26" ht="13.5" thickBot="1">
      <c r="A47" s="13" t="s">
        <v>102</v>
      </c>
      <c r="B47" s="19" t="str">
        <f>_xll.BDP(A47&amp;" mtge ISIN",$B$4)</f>
        <v>COELT 2005-A A3</v>
      </c>
      <c r="C47" s="20">
        <f t="shared" si="8"/>
        <v>1000000</v>
      </c>
      <c r="D47" s="21" t="s">
        <v>18</v>
      </c>
      <c r="E47" s="21" t="s">
        <v>150</v>
      </c>
      <c r="F47" s="23"/>
      <c r="G47" s="24" t="b">
        <v>1</v>
      </c>
      <c r="H47" s="30">
        <v>1000000</v>
      </c>
      <c r="I47" s="31">
        <v>1000000</v>
      </c>
      <c r="J47" t="str">
        <f>_xll.BDP($A47&amp;" mtge","MTG WAL","ALLOW_DYNAMIC_CASHFLOW_CALCS ","Y","MTG PREPAY SPEED",D47,"MTG PREPAY TYP",$E47)</f>
        <v>#N/A N/A</v>
      </c>
      <c r="K47" s="2" t="str">
        <f>_xll.BDP($A47&amp;" mtge","MTG_NXT_PAY_DT_SET_DT ")</f>
        <v>6/28/2016</v>
      </c>
      <c r="L47" s="2" t="e">
        <f>MAX(#REF!)</f>
        <v>#REF!</v>
      </c>
      <c r="M47" t="str">
        <f>_xll.BDP(A47&amp;" mtge ISIN","Maturity")</f>
        <v>3/29/2027</v>
      </c>
      <c r="N47" t="e">
        <f t="shared" si="6"/>
        <v>#REF!</v>
      </c>
      <c r="O47" s="15" t="e">
        <f>#REF!+#REF!</f>
        <v>#REF!</v>
      </c>
      <c r="P47" s="22" t="e">
        <f t="shared" si="7"/>
        <v>#REF!</v>
      </c>
      <c r="Q47">
        <f>_xll.BDP(A47&amp;" mtge ISIN",$Q$4)</f>
        <v>0.70483766150000005</v>
      </c>
      <c r="R47" t="b">
        <f t="shared" si="2"/>
        <v>0</v>
      </c>
      <c r="S47" s="25"/>
      <c r="T47" s="26" t="str">
        <f t="shared" si="3"/>
        <v>NOT OK</v>
      </c>
      <c r="U47" s="26"/>
      <c r="V47" s="26"/>
      <c r="W47" s="26"/>
      <c r="X47" s="26"/>
      <c r="Y47" t="s">
        <v>169</v>
      </c>
      <c r="Z47" t="s">
        <v>169</v>
      </c>
    </row>
    <row r="48" spans="1:26" ht="13.5" thickBot="1">
      <c r="A48" s="13" t="s">
        <v>103</v>
      </c>
      <c r="B48" s="19" t="str">
        <f>_xll.BDP(A48&amp;" mtge ISIN",$B$4)</f>
        <v>COELT 2005-A A4</v>
      </c>
      <c r="C48" s="20">
        <f t="shared" si="8"/>
        <v>1000000</v>
      </c>
      <c r="D48" s="21" t="s">
        <v>18</v>
      </c>
      <c r="E48" s="21" t="s">
        <v>150</v>
      </c>
      <c r="F48" s="23"/>
      <c r="G48" s="24" t="b">
        <v>1</v>
      </c>
      <c r="H48" s="30">
        <v>1000000</v>
      </c>
      <c r="I48" s="31">
        <v>1000000</v>
      </c>
      <c r="J48" t="str">
        <f>_xll.BDP($A48&amp;" mtge","MTG WAL","ALLOW_DYNAMIC_CASHFLOW_CALCS ","Y","MTG PREPAY SPEED",D48,"MTG PREPAY TYP",$E48)</f>
        <v>#N/A N/A</v>
      </c>
      <c r="K48" s="2" t="str">
        <f>_xll.BDP($A48&amp;" mtge","MTG_NXT_PAY_DT_SET_DT ")</f>
        <v>6/28/2016</v>
      </c>
      <c r="L48" s="2" t="e">
        <f>MAX(#REF!)</f>
        <v>#REF!</v>
      </c>
      <c r="M48" t="str">
        <f>_xll.BDP(A48&amp;" mtge ISIN","Maturity")</f>
        <v>3/28/2035</v>
      </c>
      <c r="N48" t="e">
        <f t="shared" si="6"/>
        <v>#REF!</v>
      </c>
      <c r="O48" s="15" t="e">
        <f>#REF!+#REF!</f>
        <v>#REF!</v>
      </c>
      <c r="P48" s="22" t="e">
        <f t="shared" si="7"/>
        <v>#REF!</v>
      </c>
      <c r="Q48">
        <f>_xll.BDP(A48&amp;" mtge ISIN",$Q$4)</f>
        <v>1</v>
      </c>
      <c r="R48" t="b">
        <f t="shared" si="2"/>
        <v>0</v>
      </c>
      <c r="S48" s="25"/>
      <c r="T48" s="26" t="str">
        <f t="shared" si="3"/>
        <v>NOT OK</v>
      </c>
      <c r="U48" s="26"/>
      <c r="V48" s="26"/>
      <c r="W48" s="26"/>
      <c r="X48" s="26"/>
      <c r="Y48" s="16" t="s">
        <v>169</v>
      </c>
      <c r="Z48" s="16" t="s">
        <v>169</v>
      </c>
    </row>
    <row r="49" spans="1:26" ht="13.5" thickBot="1">
      <c r="A49" s="7" t="s">
        <v>104</v>
      </c>
      <c r="B49" s="19" t="str">
        <f>_xll.BDP(A49&amp;" mtge ISIN",$B$4)</f>
        <v>COELT 2005-B A3</v>
      </c>
      <c r="C49" s="20">
        <f>H49</f>
        <v>1000000</v>
      </c>
      <c r="D49" s="21">
        <v>0</v>
      </c>
      <c r="E49" s="21" t="s">
        <v>150</v>
      </c>
      <c r="F49" s="23" t="b">
        <v>1</v>
      </c>
      <c r="G49" s="24"/>
      <c r="H49" s="30">
        <v>1000000</v>
      </c>
      <c r="I49" s="31">
        <v>1000000</v>
      </c>
      <c r="J49" t="str">
        <f>_xll.BDP($A49&amp;" mtge","MTG WAL","ALLOW_DYNAMIC_CASHFLOW_CALCS ","Y","MTG PREPAY SPEED",D49,"MTG PREPAY TYP",$E49)</f>
        <v>#N/A N/A</v>
      </c>
      <c r="K49" s="2" t="str">
        <f>_xll.BDP($A49&amp;" mtge","MTG_NXT_PAY_DT_SET_DT ")</f>
        <v>6/28/2016</v>
      </c>
      <c r="L49" s="2" t="e">
        <f>MAX(#REF!)</f>
        <v>#REF!</v>
      </c>
      <c r="M49" t="str">
        <f>_xll.BDP(A49&amp;" mtge ISIN","Maturity")</f>
        <v>12/30/2024</v>
      </c>
      <c r="N49" t="e">
        <f t="shared" si="6"/>
        <v>#REF!</v>
      </c>
      <c r="O49" s="15" t="e">
        <f>#REF!+#REF!</f>
        <v>#REF!</v>
      </c>
      <c r="P49" s="22" t="e">
        <f t="shared" si="7"/>
        <v>#REF!</v>
      </c>
      <c r="Q49">
        <f>_xll.BDP(A49&amp;" mtge ISIN",$Q$4)</f>
        <v>0.40067438080000001</v>
      </c>
      <c r="R49" t="b">
        <f t="shared" si="2"/>
        <v>0</v>
      </c>
      <c r="S49" s="25"/>
      <c r="T49" s="26" t="str">
        <f t="shared" si="3"/>
        <v>NOT OK</v>
      </c>
      <c r="U49" s="26" t="s">
        <v>169</v>
      </c>
      <c r="V49" s="26" t="s">
        <v>169</v>
      </c>
      <c r="W49" s="26" t="s">
        <v>169</v>
      </c>
      <c r="X49" s="26"/>
      <c r="Y49" t="e">
        <v>#REF!</v>
      </c>
      <c r="Z49" t="e">
        <v>#REF!</v>
      </c>
    </row>
    <row r="50" spans="1:26" ht="13.5" thickBot="1">
      <c r="A50" s="13" t="s">
        <v>105</v>
      </c>
      <c r="B50" s="19" t="str">
        <f>_xll.BDP(A50&amp;" mtge ISIN",$B$4)</f>
        <v>COELT 2005-B A4</v>
      </c>
      <c r="C50" s="20">
        <f>I50</f>
        <v>1000000</v>
      </c>
      <c r="D50" s="21">
        <v>0</v>
      </c>
      <c r="E50" s="21" t="s">
        <v>150</v>
      </c>
      <c r="F50" s="23"/>
      <c r="G50" s="24" t="b">
        <v>1</v>
      </c>
      <c r="H50" s="30">
        <v>1000000</v>
      </c>
      <c r="I50" s="31">
        <v>1000000</v>
      </c>
      <c r="J50" t="str">
        <f>_xll.BDP($A50&amp;" mtge","MTG WAL","ALLOW_DYNAMIC_CASHFLOW_CALCS ","Y","MTG PREPAY SPEED",D50,"MTG PREPAY TYP",$E50)</f>
        <v>#N/A N/A</v>
      </c>
      <c r="K50" s="2" t="str">
        <f>_xll.BDP($A50&amp;" mtge","MTG_NXT_PAY_DT_SET_DT ")</f>
        <v>6/28/2016</v>
      </c>
      <c r="L50" s="2" t="e">
        <f>MAX(#REF!)</f>
        <v>#REF!</v>
      </c>
      <c r="M50" t="str">
        <f>_xll.BDP(A50&amp;" mtge ISIN","Maturity")</f>
        <v>3/28/2035</v>
      </c>
      <c r="N50" t="e">
        <f t="shared" si="6"/>
        <v>#REF!</v>
      </c>
      <c r="O50" s="15" t="e">
        <f>#REF!+#REF!</f>
        <v>#REF!</v>
      </c>
      <c r="P50" s="22" t="e">
        <f t="shared" si="7"/>
        <v>#REF!</v>
      </c>
      <c r="Q50">
        <f>_xll.BDP(A50&amp;" mtge ISIN",$Q$4)</f>
        <v>1</v>
      </c>
      <c r="R50" t="b">
        <f t="shared" si="2"/>
        <v>0</v>
      </c>
      <c r="S50" s="25"/>
      <c r="T50" s="26" t="str">
        <f t="shared" si="3"/>
        <v>NOT OK</v>
      </c>
      <c r="U50" s="26"/>
      <c r="V50" s="26"/>
      <c r="W50" s="26"/>
      <c r="X50" s="26"/>
      <c r="Y50" s="16" t="s">
        <v>169</v>
      </c>
      <c r="Z50" s="16" t="s">
        <v>169</v>
      </c>
    </row>
    <row r="51" spans="1:26" ht="13.5" thickBot="1">
      <c r="A51" s="13" t="s">
        <v>199</v>
      </c>
      <c r="B51" s="19" t="str">
        <f>_xll.BDP(A51&amp;" mtge ISIN",$B$4)</f>
        <v>ELI 2005-1 A3</v>
      </c>
      <c r="C51" s="20">
        <f>I51</f>
        <v>1000000</v>
      </c>
      <c r="D51" s="21">
        <v>0</v>
      </c>
      <c r="E51" s="21" t="s">
        <v>150</v>
      </c>
      <c r="F51" s="23"/>
      <c r="G51" s="24" t="b">
        <v>1</v>
      </c>
      <c r="H51" s="30">
        <v>1000000</v>
      </c>
      <c r="I51" s="31">
        <v>1000000</v>
      </c>
      <c r="J51" t="str">
        <f>_xll.BDP($A51&amp;" mtge","MTG WAL","ALLOW_DYNAMIC_CASHFLOW_CALCS ","Y","MTG PREPAY SPEED",D51,"MTG PREPAY TYP",$E51)</f>
        <v>#N/A N/A</v>
      </c>
      <c r="K51" s="2" t="str">
        <f>_xll.BDP($A51&amp;" mtge","MTG_NXT_PAY_DT_SET_DT ")</f>
        <v>6/27/2016</v>
      </c>
      <c r="L51" s="2" t="e">
        <f>MAX(#REF!)</f>
        <v>#REF!</v>
      </c>
      <c r="M51" t="str">
        <f>_xll.BDP(A51&amp;" mtge ISIN","Maturity")</f>
        <v>9/25/2024</v>
      </c>
      <c r="N51" t="e">
        <f t="shared" si="6"/>
        <v>#REF!</v>
      </c>
      <c r="O51" s="15" t="e">
        <f>#REF!+#REF!</f>
        <v>#REF!</v>
      </c>
      <c r="P51" s="22" t="e">
        <f t="shared" si="7"/>
        <v>#REF!</v>
      </c>
      <c r="Q51">
        <f>_xll.BDP(A51&amp;" mtge ISIN",$Q$4)</f>
        <v>0.40937000000000001</v>
      </c>
      <c r="R51" t="b">
        <f t="shared" si="2"/>
        <v>0</v>
      </c>
      <c r="S51" s="25"/>
      <c r="T51" s="26" t="str">
        <f t="shared" si="3"/>
        <v>NOT OK</v>
      </c>
      <c r="U51" s="26"/>
      <c r="V51" s="26"/>
      <c r="W51" s="26"/>
      <c r="X51" s="56" t="s">
        <v>32</v>
      </c>
      <c r="Y51" t="s">
        <v>168</v>
      </c>
      <c r="Z51" t="s">
        <v>168</v>
      </c>
    </row>
    <row r="52" spans="1:26" ht="13.5" thickBot="1">
      <c r="A52" s="37" t="s">
        <v>200</v>
      </c>
      <c r="B52" s="19" t="str">
        <f>_xll.BDP(A52&amp;" mtge ISIN",$B$4)</f>
        <v>FELMC 2002-1 A1</v>
      </c>
      <c r="C52" s="20">
        <f>I52</f>
        <v>1000000</v>
      </c>
      <c r="D52" s="21">
        <v>0</v>
      </c>
      <c r="E52" s="21" t="s">
        <v>150</v>
      </c>
      <c r="F52" s="23"/>
      <c r="G52" s="24" t="b">
        <v>1</v>
      </c>
      <c r="H52" s="30">
        <v>1000000</v>
      </c>
      <c r="I52" s="31">
        <v>1000000</v>
      </c>
      <c r="J52" t="str">
        <f>_xll.BDP($A52&amp;" mtge","MTG WAL","ALLOW_DYNAMIC_CASHFLOW_CALCS ","Y","MTG PREPAY SPEED",D52,"MTG PREPAY TYP",$E52)</f>
        <v>#N/A N/A</v>
      </c>
      <c r="K52" s="2" t="str">
        <f>_xll.BDP($A52&amp;" mtge","MTG_NXT_PAY_DT_SET_DT ")</f>
        <v>8/25/2016</v>
      </c>
      <c r="L52" s="2" t="e">
        <f>MAX(#REF!)</f>
        <v>#REF!</v>
      </c>
      <c r="M52" t="str">
        <f>_xll.BDP(A52&amp;" mtge ISIN","Maturity")</f>
        <v>11/25/2014</v>
      </c>
      <c r="N52" t="e">
        <f t="shared" si="6"/>
        <v>#REF!</v>
      </c>
      <c r="O52" s="15" t="e">
        <f>#REF!+#REF!</f>
        <v>#REF!</v>
      </c>
      <c r="P52" s="22" t="e">
        <f t="shared" si="7"/>
        <v>#REF!</v>
      </c>
      <c r="Q52">
        <f>_xll.BDP(A52&amp;" mtge ISIN",$Q$4)</f>
        <v>0</v>
      </c>
      <c r="R52" t="b">
        <f t="shared" si="2"/>
        <v>0</v>
      </c>
      <c r="S52" s="25"/>
      <c r="T52" s="26" t="str">
        <f t="shared" si="3"/>
        <v>NOT OK</v>
      </c>
      <c r="U52" s="26"/>
      <c r="V52" s="26"/>
      <c r="W52" s="26"/>
      <c r="X52" s="26"/>
      <c r="Y52" t="s">
        <v>168</v>
      </c>
      <c r="Z52" t="s">
        <v>168</v>
      </c>
    </row>
    <row r="53" spans="1:26" ht="13.5" thickBot="1">
      <c r="A53" s="7" t="s">
        <v>106</v>
      </c>
      <c r="B53" s="19" t="str">
        <f>_xll.BDP(A53&amp;" mtge ISIN",$B$4)</f>
        <v>GCOE 2005-2 A5L</v>
      </c>
      <c r="C53" s="20">
        <f>H53</f>
        <v>1000000</v>
      </c>
      <c r="D53" s="21">
        <v>50</v>
      </c>
      <c r="E53" s="21" t="s">
        <v>152</v>
      </c>
      <c r="F53" s="23" t="b">
        <v>1</v>
      </c>
      <c r="G53" s="24"/>
      <c r="H53" s="30">
        <v>1000000</v>
      </c>
      <c r="I53" s="31">
        <v>1000000</v>
      </c>
      <c r="J53" t="str">
        <f>_xll.BDP($A53&amp;" mtge","MTG WAL","ALLOW_DYNAMIC_CASHFLOW_CALCS ","Y","MTG PREPAY SPEED",D53,"MTG PREPAY TYP",$E53)</f>
        <v>#N/A N/A</v>
      </c>
      <c r="K53" s="2" t="str">
        <f>_xll.BDP($A53&amp;" mtge","MTG_NXT_PAY_DT_SET_DT ")</f>
        <v>8/25/2016</v>
      </c>
      <c r="L53" s="2" t="e">
        <f>MAX(#REF!)</f>
        <v>#REF!</v>
      </c>
      <c r="M53" t="str">
        <f>_xll.BDP(A53&amp;" mtge ISIN","Maturity")</f>
        <v>5/25/2021</v>
      </c>
      <c r="N53" t="e">
        <f t="shared" si="6"/>
        <v>#REF!</v>
      </c>
      <c r="O53" s="15" t="e">
        <f>#REF!+#REF!</f>
        <v>#REF!</v>
      </c>
      <c r="P53" s="22" t="e">
        <f t="shared" si="7"/>
        <v>#REF!</v>
      </c>
      <c r="Q53">
        <f>_xll.BDP(A53&amp;" mtge ISIN",$Q$4)</f>
        <v>0</v>
      </c>
      <c r="R53" t="b">
        <f t="shared" si="2"/>
        <v>0</v>
      </c>
      <c r="S53" s="25"/>
      <c r="T53" s="26" t="str">
        <f t="shared" si="3"/>
        <v>NOT OK</v>
      </c>
      <c r="U53" s="26" t="s">
        <v>169</v>
      </c>
      <c r="V53" s="26" t="s">
        <v>169</v>
      </c>
      <c r="W53" s="26" t="s">
        <v>169</v>
      </c>
      <c r="X53" s="26"/>
      <c r="Y53" t="e">
        <v>#REF!</v>
      </c>
      <c r="Z53" t="e">
        <v>#REF!</v>
      </c>
    </row>
    <row r="54" spans="1:26" ht="13.5" thickBot="1">
      <c r="A54" s="13" t="s">
        <v>201</v>
      </c>
      <c r="B54" s="19" t="str">
        <f>_xll.BDP(A54&amp;" mtge ISIN",$B$4)</f>
        <v>GCOE 2005-2 A6L</v>
      </c>
      <c r="C54" s="20">
        <f>I54</f>
        <v>1000000</v>
      </c>
      <c r="D54" s="21">
        <v>50</v>
      </c>
      <c r="E54" s="21" t="s">
        <v>152</v>
      </c>
      <c r="F54" s="23"/>
      <c r="G54" s="24" t="b">
        <v>1</v>
      </c>
      <c r="H54" s="30">
        <v>1000000</v>
      </c>
      <c r="I54" s="31">
        <v>1000000</v>
      </c>
      <c r="J54" t="str">
        <f>_xll.BDP($A54&amp;" mtge","MTG WAL","ALLOW_DYNAMIC_CASHFLOW_CALCS ","Y","MTG PREPAY SPEED",D54,"MTG PREPAY TYP",$E54)</f>
        <v>#N/A N/A</v>
      </c>
      <c r="K54" s="2" t="str">
        <f>_xll.BDP($A54&amp;" mtge","MTG_NXT_PAY_DT_SET_DT ")</f>
        <v>8/25/2016</v>
      </c>
      <c r="L54" s="2" t="e">
        <f>MAX(#REF!)</f>
        <v>#REF!</v>
      </c>
      <c r="M54" t="str">
        <f>_xll.BDP(A54&amp;" mtge ISIN","Maturity")</f>
        <v>5/27/2024</v>
      </c>
      <c r="N54" t="e">
        <f t="shared" si="6"/>
        <v>#REF!</v>
      </c>
      <c r="O54" s="15" t="e">
        <f>#REF!+#REF!</f>
        <v>#REF!</v>
      </c>
      <c r="P54" s="22" t="e">
        <f t="shared" si="7"/>
        <v>#REF!</v>
      </c>
      <c r="Q54">
        <f>_xll.BDP(A54&amp;" mtge ISIN",$Q$4)</f>
        <v>0.33730612240000002</v>
      </c>
      <c r="R54" t="b">
        <f t="shared" si="2"/>
        <v>0</v>
      </c>
      <c r="S54" s="25"/>
      <c r="T54" s="26" t="str">
        <f t="shared" si="3"/>
        <v>NOT OK</v>
      </c>
      <c r="U54" s="26"/>
      <c r="V54" s="26"/>
      <c r="W54" s="26"/>
      <c r="X54" s="26"/>
      <c r="Y54" t="s">
        <v>169</v>
      </c>
      <c r="Z54" t="s">
        <v>169</v>
      </c>
    </row>
    <row r="55" spans="1:26" ht="13.5" thickBot="1">
      <c r="A55" s="38" t="s">
        <v>202</v>
      </c>
      <c r="B55" s="19" t="str">
        <f>_xll.BDP(A55&amp;" mtge ISIN",$B$4)</f>
        <v>GCOE 2006-1 A9L</v>
      </c>
      <c r="C55" s="20">
        <f>I55</f>
        <v>1000000</v>
      </c>
      <c r="D55" s="21">
        <v>50</v>
      </c>
      <c r="E55" s="21" t="s">
        <v>152</v>
      </c>
      <c r="F55" s="23"/>
      <c r="G55" s="24" t="b">
        <v>1</v>
      </c>
      <c r="H55" s="30">
        <v>1000000</v>
      </c>
      <c r="I55" s="31">
        <v>1000000</v>
      </c>
      <c r="J55" t="str">
        <f>_xll.BDP($A55&amp;" mtge","MTG WAL","ALLOW_DYNAMIC_CASHFLOW_CALCS ","Y","MTG PREPAY SPEED",D55,"MTG PREPAY TYP",$E55)</f>
        <v>#N/A N/A</v>
      </c>
      <c r="K55" s="2" t="str">
        <f>_xll.BDP($A55&amp;" mtge","MTG_NXT_PAY_DT_SET_DT ")</f>
        <v>8/25/2016</v>
      </c>
      <c r="L55" s="2" t="e">
        <f>MAX(#REF!)</f>
        <v>#REF!</v>
      </c>
      <c r="M55" t="str">
        <f>_xll.BDP(A55&amp;" mtge ISIN","Maturity")</f>
        <v>5/25/2026</v>
      </c>
      <c r="N55" t="e">
        <f t="shared" si="6"/>
        <v>#REF!</v>
      </c>
      <c r="O55" s="15" t="e">
        <f>#REF!+#REF!</f>
        <v>#REF!</v>
      </c>
      <c r="P55" s="22" t="e">
        <f t="shared" si="7"/>
        <v>#REF!</v>
      </c>
      <c r="Q55">
        <f>_xll.BDP(A55&amp;" mtge ISIN",$Q$4)</f>
        <v>1</v>
      </c>
      <c r="R55" t="b">
        <f t="shared" si="2"/>
        <v>0</v>
      </c>
      <c r="S55" s="25"/>
      <c r="T55" s="26" t="str">
        <f t="shared" si="3"/>
        <v>NOT OK</v>
      </c>
      <c r="U55" s="26"/>
      <c r="V55" s="26"/>
      <c r="W55" s="26"/>
      <c r="X55" s="26"/>
      <c r="Y55" s="16" t="s">
        <v>169</v>
      </c>
      <c r="Z55" s="16" t="s">
        <v>169</v>
      </c>
    </row>
    <row r="56" spans="1:26" ht="13.5" thickBot="1">
      <c r="A56" s="7" t="s">
        <v>107</v>
      </c>
      <c r="B56" s="19" t="str">
        <f>_xll.BDP(A56&amp;" mtge ISIN",$B$4)</f>
        <v>GCOE 2006-1 A10L</v>
      </c>
      <c r="C56" s="20">
        <f>H56</f>
        <v>1000000</v>
      </c>
      <c r="D56" s="21">
        <v>50</v>
      </c>
      <c r="E56" s="21" t="s">
        <v>152</v>
      </c>
      <c r="F56" s="23" t="b">
        <v>1</v>
      </c>
      <c r="G56" s="24"/>
      <c r="H56" s="30">
        <v>1000000</v>
      </c>
      <c r="I56" s="31">
        <v>1000000</v>
      </c>
      <c r="J56" t="str">
        <f>_xll.BDP($A56&amp;" mtge","MTG WAL","ALLOW_DYNAMIC_CASHFLOW_CALCS ","Y","MTG PREPAY SPEED",D56,"MTG PREPAY TYP",$E56)</f>
        <v>#N/A N/A</v>
      </c>
      <c r="K56" s="2" t="str">
        <f>_xll.BDP($A56&amp;" mtge","MTG_NXT_PAY_DT_SET_DT ")</f>
        <v>8/25/2016</v>
      </c>
      <c r="L56" s="2" t="e">
        <f>MAX(#REF!)</f>
        <v>#REF!</v>
      </c>
      <c r="M56" t="str">
        <f>_xll.BDP(A56&amp;" mtge ISIN","Maturity")</f>
        <v>2/27/2028</v>
      </c>
      <c r="N56" t="e">
        <f t="shared" si="6"/>
        <v>#REF!</v>
      </c>
      <c r="O56" s="15" t="e">
        <f>#REF!+#REF!</f>
        <v>#REF!</v>
      </c>
      <c r="P56" s="22" t="e">
        <f t="shared" si="7"/>
        <v>#REF!</v>
      </c>
      <c r="Q56">
        <f>_xll.BDP(A56&amp;" mtge ISIN",$Q$4)</f>
        <v>1</v>
      </c>
      <c r="R56" t="b">
        <f t="shared" si="2"/>
        <v>0</v>
      </c>
      <c r="S56" s="25"/>
      <c r="T56" s="26" t="str">
        <f t="shared" si="3"/>
        <v>NOT OK</v>
      </c>
      <c r="U56" s="26" t="s">
        <v>169</v>
      </c>
      <c r="V56" s="26" t="s">
        <v>169</v>
      </c>
      <c r="W56" s="26" t="s">
        <v>169</v>
      </c>
      <c r="X56" s="26"/>
      <c r="Y56" t="e">
        <v>#REF!</v>
      </c>
      <c r="Z56" t="e">
        <v>#REF!</v>
      </c>
    </row>
    <row r="57" spans="1:26" ht="13.5" thickBot="1">
      <c r="A57" s="12" t="s">
        <v>108</v>
      </c>
      <c r="B57" s="19" t="str">
        <f>_xll.BDP(A57&amp;" mtge ISIN",$B$4)</f>
        <v>GCOE 2006-2A A2L</v>
      </c>
      <c r="C57" s="20">
        <f>H57</f>
        <v>1000000</v>
      </c>
      <c r="D57" s="21" t="s">
        <v>18</v>
      </c>
      <c r="E57" s="21" t="s">
        <v>150</v>
      </c>
      <c r="F57" s="23" t="b">
        <v>1</v>
      </c>
      <c r="G57" s="24" t="b">
        <v>1</v>
      </c>
      <c r="H57" s="30">
        <v>1000000</v>
      </c>
      <c r="I57" s="31">
        <v>1000000</v>
      </c>
      <c r="J57" t="str">
        <f>_xll.BDP($A57&amp;" mtge","MTG WAL","ALLOW_DYNAMIC_CASHFLOW_CALCS ","Y","MTG PREPAY SPEED",D57,"MTG PREPAY TYP",$E57)</f>
        <v>#N/A N/A</v>
      </c>
      <c r="K57" s="2" t="str">
        <f>_xll.BDP($A57&amp;" mtge","MTG_NXT_PAY_DT_SET_DT ")</f>
        <v>8/25/2016</v>
      </c>
      <c r="L57" s="2" t="e">
        <f>MAX(#REF!)</f>
        <v>#REF!</v>
      </c>
      <c r="M57" t="str">
        <f>_xll.BDP(A57&amp;" mtge ISIN","Maturity")</f>
        <v>8/25/2025</v>
      </c>
      <c r="N57" t="e">
        <f t="shared" si="6"/>
        <v>#REF!</v>
      </c>
      <c r="O57" s="15" t="e">
        <f>#REF!+#REF!</f>
        <v>#REF!</v>
      </c>
      <c r="P57" s="22" t="e">
        <f t="shared" si="7"/>
        <v>#REF!</v>
      </c>
      <c r="Q57">
        <f>_xll.BDP(A57&amp;" mtge ISIN",$Q$4)</f>
        <v>0</v>
      </c>
      <c r="R57" t="b">
        <f t="shared" si="2"/>
        <v>0</v>
      </c>
      <c r="S57" s="25"/>
      <c r="T57" s="26" t="str">
        <f t="shared" si="3"/>
        <v>NOT OK</v>
      </c>
      <c r="U57" s="26" t="s">
        <v>169</v>
      </c>
      <c r="V57" s="26" t="s">
        <v>169</v>
      </c>
      <c r="W57" s="26" t="s">
        <v>169</v>
      </c>
      <c r="X57" s="26"/>
      <c r="Y57" s="16" t="s">
        <v>169</v>
      </c>
      <c r="Z57" s="16" t="s">
        <v>169</v>
      </c>
    </row>
    <row r="58" spans="1:26" ht="13.5" thickBot="1">
      <c r="A58" s="12" t="s">
        <v>203</v>
      </c>
      <c r="B58" s="19" t="str">
        <f>_xll.BDP(A58&amp;" mtge ISIN",$B$4)</f>
        <v>GCOE 2006-2A A3L</v>
      </c>
      <c r="C58" s="20">
        <f>H58</f>
        <v>1000000</v>
      </c>
      <c r="D58" s="21" t="s">
        <v>18</v>
      </c>
      <c r="E58" s="21" t="s">
        <v>150</v>
      </c>
      <c r="F58" s="23" t="b">
        <v>1</v>
      </c>
      <c r="G58" s="24" t="b">
        <v>1</v>
      </c>
      <c r="H58" s="30">
        <v>1000000</v>
      </c>
      <c r="I58" s="31">
        <v>1000000</v>
      </c>
      <c r="J58">
        <f>_xll.BDP($A58&amp;" mtge","MTG WAL","ALLOW_DYNAMIC_CASHFLOW_CALCS ","Y","MTG PREPAY SPEED",D58,"MTG PREPAY TYP",$E58)</f>
        <v>1.21</v>
      </c>
      <c r="K58" s="2" t="str">
        <f>_xll.BDP($A58&amp;" mtge","MTG_NXT_PAY_DT_SET_DT ")</f>
        <v>8/25/2016</v>
      </c>
      <c r="L58" s="2" t="e">
        <f>MAX(#REF!)</f>
        <v>#REF!</v>
      </c>
      <c r="M58" t="str">
        <f>_xll.BDP(A58&amp;" mtge ISIN","Maturity")</f>
        <v>8/25/2028</v>
      </c>
      <c r="N58" t="e">
        <f t="shared" si="6"/>
        <v>#REF!</v>
      </c>
      <c r="O58" s="15" t="e">
        <f>#REF!+#REF!</f>
        <v>#REF!</v>
      </c>
      <c r="P58" s="22" t="e">
        <f t="shared" si="7"/>
        <v>#REF!</v>
      </c>
      <c r="Q58">
        <f>_xll.BDP(A58&amp;" mtge ISIN",$Q$4)</f>
        <v>0.66595624999999992</v>
      </c>
      <c r="R58" t="b">
        <f t="shared" si="2"/>
        <v>0</v>
      </c>
      <c r="S58" s="25"/>
      <c r="T58" s="26" t="str">
        <f t="shared" si="3"/>
        <v>NOT OK</v>
      </c>
      <c r="U58" s="26" t="s">
        <v>169</v>
      </c>
      <c r="V58" s="26" t="s">
        <v>169</v>
      </c>
      <c r="W58" s="26" t="s">
        <v>169</v>
      </c>
      <c r="X58" s="26"/>
      <c r="Y58" t="s">
        <v>169</v>
      </c>
      <c r="Z58" t="s">
        <v>169</v>
      </c>
    </row>
    <row r="59" spans="1:26" ht="13.5" thickBot="1">
      <c r="A59" s="13" t="s">
        <v>204</v>
      </c>
      <c r="B59" s="19" t="str">
        <f>_xll.BDP(A59&amp;" mtge ISIN",$B$4)</f>
        <v>GCOE 2007-1A A5L</v>
      </c>
      <c r="C59" s="20">
        <f>I59</f>
        <v>1000000</v>
      </c>
      <c r="D59" s="21">
        <v>50</v>
      </c>
      <c r="E59" s="21" t="s">
        <v>151</v>
      </c>
      <c r="F59" s="23"/>
      <c r="G59" s="24" t="b">
        <v>1</v>
      </c>
      <c r="H59" s="30">
        <v>1000000</v>
      </c>
      <c r="I59" s="31">
        <v>1000000</v>
      </c>
      <c r="J59" t="str">
        <f>_xll.BDP($A59&amp;" mtge","MTG WAL","ALLOW_DYNAMIC_CASHFLOW_CALCS ","Y","MTG PREPAY SPEED",D59,"MTG PREPAY TYP",$E59)</f>
        <v>#N/A N/A</v>
      </c>
      <c r="K59" s="2" t="str">
        <f>_xll.BDP($A59&amp;" mtge","MTG_NXT_PAY_DT_SET_DT ")</f>
        <v>8/25/2016</v>
      </c>
      <c r="L59" s="2" t="e">
        <f>MAX(#REF!)</f>
        <v>#REF!</v>
      </c>
      <c r="M59" t="str">
        <f>_xll.BDP(A59&amp;" mtge ISIN","Maturity")</f>
        <v>5/25/2023</v>
      </c>
      <c r="N59" t="e">
        <f t="shared" si="6"/>
        <v>#REF!</v>
      </c>
      <c r="O59" s="15" t="e">
        <f>#REF!+#REF!</f>
        <v>#REF!</v>
      </c>
      <c r="P59" s="22" t="e">
        <f t="shared" si="7"/>
        <v>#REF!</v>
      </c>
      <c r="Q59">
        <f>_xll.BDP(A59&amp;" mtge ISIN",$Q$4)</f>
        <v>0.59432985823700002</v>
      </c>
      <c r="R59" t="b">
        <f t="shared" si="2"/>
        <v>0</v>
      </c>
      <c r="S59" s="25"/>
      <c r="T59" s="26" t="str">
        <f t="shared" si="3"/>
        <v>NOT OK</v>
      </c>
      <c r="U59" s="26"/>
      <c r="V59" s="26"/>
      <c r="W59" s="26"/>
      <c r="X59" s="26"/>
      <c r="Y59" t="s">
        <v>169</v>
      </c>
      <c r="Z59" t="s">
        <v>169</v>
      </c>
    </row>
    <row r="60" spans="1:26" ht="13.5" thickBot="1">
      <c r="A60" s="13" t="s">
        <v>109</v>
      </c>
      <c r="B60" s="19" t="str">
        <f>_xll.BDP(A60&amp;" mtge ISIN",$B$4)</f>
        <v>GCOE 2007-1A A6L</v>
      </c>
      <c r="C60" s="20">
        <f>H60</f>
        <v>1000000</v>
      </c>
      <c r="D60" s="21">
        <v>0</v>
      </c>
      <c r="E60" s="21" t="s">
        <v>151</v>
      </c>
      <c r="F60" s="23" t="b">
        <v>1</v>
      </c>
      <c r="G60" s="24" t="b">
        <v>1</v>
      </c>
      <c r="H60" s="30">
        <v>1000000</v>
      </c>
      <c r="I60" s="31">
        <v>1000000</v>
      </c>
      <c r="J60">
        <f>_xll.BDP($A60&amp;" mtge","MTG WAL","ALLOW_DYNAMIC_CASHFLOW_CALCS ","Y","MTG PREPAY SPEED",D60,"MTG PREPAY TYP",$E60)</f>
        <v>2.75</v>
      </c>
      <c r="K60" s="2" t="str">
        <f>_xll.BDP($A60&amp;" mtge","MTG_NXT_PAY_DT_SET_DT ")</f>
        <v>8/25/2016</v>
      </c>
      <c r="L60" s="2" t="e">
        <f>MAX(#REF!)</f>
        <v>#REF!</v>
      </c>
      <c r="M60" t="str">
        <f>_xll.BDP(A60&amp;" mtge ISIN","Maturity")</f>
        <v>11/25/2026</v>
      </c>
      <c r="N60" t="e">
        <f t="shared" si="6"/>
        <v>#REF!</v>
      </c>
      <c r="O60" s="15" t="e">
        <f>#REF!+#REF!</f>
        <v>#REF!</v>
      </c>
      <c r="P60" s="22" t="e">
        <f t="shared" si="7"/>
        <v>#REF!</v>
      </c>
      <c r="Q60">
        <f>_xll.BDP(A60&amp;" mtge ISIN",$Q$4)</f>
        <v>1</v>
      </c>
      <c r="R60" t="b">
        <f t="shared" si="2"/>
        <v>0</v>
      </c>
      <c r="S60" s="25"/>
      <c r="T60" s="26" t="str">
        <f t="shared" si="3"/>
        <v>NOT OK</v>
      </c>
      <c r="U60" s="26" t="s">
        <v>169</v>
      </c>
      <c r="V60" s="26" t="s">
        <v>169</v>
      </c>
      <c r="W60" s="26" t="s">
        <v>169</v>
      </c>
      <c r="X60" s="26"/>
      <c r="Y60" t="s">
        <v>169</v>
      </c>
      <c r="Z60" t="s">
        <v>169</v>
      </c>
    </row>
    <row r="61" spans="1:26" ht="13.5" thickBot="1">
      <c r="A61" s="36" t="s">
        <v>205</v>
      </c>
      <c r="B61" s="19" t="str">
        <f>_xll.BDP(A61&amp;" mtge ISIN",$B$4)</f>
        <v>GCOE 2007-1A A7L</v>
      </c>
      <c r="C61" s="20">
        <f>H61</f>
        <v>1000000</v>
      </c>
      <c r="D61" s="21">
        <v>50</v>
      </c>
      <c r="E61" s="21" t="s">
        <v>151</v>
      </c>
      <c r="F61" s="23" t="b">
        <v>1</v>
      </c>
      <c r="G61" s="24"/>
      <c r="H61" s="30">
        <v>1000000</v>
      </c>
      <c r="I61" s="31">
        <v>1000000</v>
      </c>
      <c r="J61">
        <f>_xll.BDP($A61&amp;" mtge","MTG WAL","ALLOW_DYNAMIC_CASHFLOW_CALCS ","Y","MTG PREPAY SPEED",D61,"MTG PREPAY TYP",$E61)</f>
        <v>5.89</v>
      </c>
      <c r="K61" s="2" t="str">
        <f>_xll.BDP($A61&amp;" mtge","MTG_NXT_PAY_DT_SET_DT ")</f>
        <v>8/25/2016</v>
      </c>
      <c r="L61" s="2" t="e">
        <f>MAX(#REF!)</f>
        <v>#REF!</v>
      </c>
      <c r="M61" t="str">
        <f>_xll.BDP(A61&amp;" mtge ISIN","Maturity")</f>
        <v>11/25/2030</v>
      </c>
      <c r="N61" t="e">
        <f t="shared" si="6"/>
        <v>#REF!</v>
      </c>
      <c r="O61" s="15" t="e">
        <f>#REF!+#REF!</f>
        <v>#REF!</v>
      </c>
      <c r="P61" s="22" t="e">
        <f t="shared" si="7"/>
        <v>#REF!</v>
      </c>
      <c r="Q61">
        <f>_xll.BDP(A61&amp;" mtge ISIN",$Q$4)</f>
        <v>1</v>
      </c>
      <c r="R61" t="b">
        <f t="shared" si="2"/>
        <v>0</v>
      </c>
      <c r="S61" s="25"/>
      <c r="T61" s="26" t="str">
        <f t="shared" si="3"/>
        <v>NOT OK</v>
      </c>
      <c r="U61" s="26" t="s">
        <v>169</v>
      </c>
      <c r="V61" s="26" t="s">
        <v>169</v>
      </c>
      <c r="W61" s="26" t="s">
        <v>169</v>
      </c>
      <c r="X61" s="26"/>
      <c r="Y61" t="e">
        <v>#REF!</v>
      </c>
      <c r="Z61" t="e">
        <v>#REF!</v>
      </c>
    </row>
    <row r="62" spans="1:26" ht="13.5" thickBot="1">
      <c r="A62" s="7" t="s">
        <v>110</v>
      </c>
      <c r="B62" s="19" t="str">
        <f>_xll.BDP(A62&amp;" mtge ISIN",$B$4)</f>
        <v>GOAL 2005-2 A2</v>
      </c>
      <c r="C62" s="20">
        <f>H62</f>
        <v>1000000</v>
      </c>
      <c r="D62" s="21">
        <v>0</v>
      </c>
      <c r="E62" s="21" t="s">
        <v>150</v>
      </c>
      <c r="F62" s="23" t="b">
        <v>1</v>
      </c>
      <c r="G62" s="24"/>
      <c r="H62" s="30">
        <v>1000000</v>
      </c>
      <c r="I62" s="31">
        <v>1000000</v>
      </c>
      <c r="J62" t="str">
        <f>_xll.BDP($A62&amp;" mtge","MTG WAL","ALLOW_DYNAMIC_CASHFLOW_CALCS ","Y","MTG PREPAY SPEED",D62,"MTG PREPAY TYP",$E62)</f>
        <v>#N/A N/A</v>
      </c>
      <c r="K62" s="2" t="str">
        <f>_xll.BDP($A62&amp;" mtge","MTG_NXT_PAY_DT_SET_DT ")</f>
        <v>8/25/2016</v>
      </c>
      <c r="L62" s="2" t="e">
        <f>MAX(#REF!)</f>
        <v>#REF!</v>
      </c>
      <c r="M62" t="str">
        <f>_xll.BDP(A62&amp;" mtge ISIN","Maturity")</f>
        <v>11/25/2024</v>
      </c>
      <c r="N62" t="e">
        <f t="shared" si="6"/>
        <v>#REF!</v>
      </c>
      <c r="O62" s="15" t="e">
        <f>#REF!+#REF!</f>
        <v>#REF!</v>
      </c>
      <c r="P62" s="22" t="e">
        <f t="shared" si="7"/>
        <v>#REF!</v>
      </c>
      <c r="Q62">
        <f>_xll.BDP(A62&amp;" mtge ISIN",$Q$4)</f>
        <v>0</v>
      </c>
      <c r="R62" t="b">
        <f t="shared" si="2"/>
        <v>0</v>
      </c>
      <c r="S62" s="25"/>
      <c r="T62" s="26" t="str">
        <f t="shared" si="3"/>
        <v>NOT OK</v>
      </c>
      <c r="U62" s="26" t="s">
        <v>169</v>
      </c>
      <c r="V62" s="26" t="s">
        <v>169</v>
      </c>
      <c r="W62" s="26" t="s">
        <v>169</v>
      </c>
      <c r="X62" s="26"/>
      <c r="Y62" s="16" t="e">
        <v>#REF!</v>
      </c>
      <c r="Z62" s="16" t="e">
        <v>#REF!</v>
      </c>
    </row>
    <row r="63" spans="1:26" ht="13.5" thickBot="1">
      <c r="A63" s="13" t="s">
        <v>206</v>
      </c>
      <c r="B63" s="19" t="str">
        <f>_xll.BDP(A63&amp;" mtge ISIN",$B$4)</f>
        <v>GOAL 2005-2 A3</v>
      </c>
      <c r="C63" s="20">
        <f>I63</f>
        <v>1000000</v>
      </c>
      <c r="D63" s="21">
        <v>0</v>
      </c>
      <c r="E63" s="21" t="s">
        <v>150</v>
      </c>
      <c r="F63" s="23"/>
      <c r="G63" s="24" t="b">
        <v>1</v>
      </c>
      <c r="H63" s="30">
        <v>1000000</v>
      </c>
      <c r="I63" s="31">
        <v>1000000</v>
      </c>
      <c r="J63" t="str">
        <f>_xll.BDP($A63&amp;" mtge","MTG WAL","ALLOW_DYNAMIC_CASHFLOW_CALCS ","Y","MTG PREPAY SPEED",D63,"MTG PREPAY TYP",$E63)</f>
        <v>#N/A N/A</v>
      </c>
      <c r="K63" s="2" t="str">
        <f>_xll.BDP($A63&amp;" mtge","MTG_NXT_PAY_DT_SET_DT ")</f>
        <v>8/25/2016</v>
      </c>
      <c r="L63" s="2" t="e">
        <f>MAX(#REF!)</f>
        <v>#REF!</v>
      </c>
      <c r="M63" t="str">
        <f>_xll.BDP(A63&amp;" mtge ISIN","Maturity")</f>
        <v>5/28/2030</v>
      </c>
      <c r="N63" t="e">
        <f t="shared" si="6"/>
        <v>#REF!</v>
      </c>
      <c r="O63" s="15" t="e">
        <f>#REF!+#REF!</f>
        <v>#REF!</v>
      </c>
      <c r="P63" s="22" t="e">
        <f t="shared" si="7"/>
        <v>#REF!</v>
      </c>
      <c r="Q63">
        <f>_xll.BDP(A63&amp;" mtge ISIN",$Q$4)</f>
        <v>0.62603324459999998</v>
      </c>
      <c r="R63" t="b">
        <f t="shared" si="2"/>
        <v>0</v>
      </c>
      <c r="S63" s="25"/>
      <c r="T63" s="26" t="str">
        <f t="shared" si="3"/>
        <v>NOT OK</v>
      </c>
      <c r="U63" s="26"/>
      <c r="V63" s="26"/>
      <c r="W63" s="26"/>
      <c r="X63" s="26"/>
      <c r="Y63" t="s">
        <v>169</v>
      </c>
      <c r="Z63" t="s">
        <v>169</v>
      </c>
    </row>
    <row r="64" spans="1:26" ht="13.5" thickBot="1">
      <c r="A64" s="13" t="s">
        <v>207</v>
      </c>
      <c r="B64" s="19" t="str">
        <f>_xll.BDP(A64&amp;" mtge ISIN",$B$4)</f>
        <v>GOAL 2005-2 A4</v>
      </c>
      <c r="C64" s="20">
        <f>I64</f>
        <v>1000000</v>
      </c>
      <c r="D64" s="21">
        <v>0</v>
      </c>
      <c r="E64" s="21" t="s">
        <v>150</v>
      </c>
      <c r="F64" s="23"/>
      <c r="G64" s="24" t="b">
        <v>1</v>
      </c>
      <c r="H64" s="30">
        <v>1000000</v>
      </c>
      <c r="I64" s="31">
        <v>1000000</v>
      </c>
      <c r="J64" t="str">
        <f>_xll.BDP($A64&amp;" mtge","MTG WAL","ALLOW_DYNAMIC_CASHFLOW_CALCS ","Y","MTG PREPAY SPEED",D64,"MTG PREPAY TYP",$E64)</f>
        <v>#N/A N/A</v>
      </c>
      <c r="K64" s="2" t="str">
        <f>_xll.BDP($A64&amp;" mtge","MTG_NXT_PAY_DT_SET_DT ")</f>
        <v>8/25/2016</v>
      </c>
      <c r="L64" s="2" t="e">
        <f>MAX(#REF!)</f>
        <v>#REF!</v>
      </c>
      <c r="M64" t="str">
        <f>_xll.BDP(A64&amp;" mtge ISIN","Maturity")</f>
        <v>8/25/2044</v>
      </c>
      <c r="N64" t="e">
        <f t="shared" si="6"/>
        <v>#REF!</v>
      </c>
      <c r="O64" s="15" t="e">
        <f>#REF!+#REF!</f>
        <v>#REF!</v>
      </c>
      <c r="P64" s="22" t="e">
        <f t="shared" si="7"/>
        <v>#REF!</v>
      </c>
      <c r="Q64">
        <f>_xll.BDP(A64&amp;" mtge ISIN",$Q$4)</f>
        <v>1</v>
      </c>
      <c r="R64" t="b">
        <f t="shared" si="2"/>
        <v>0</v>
      </c>
      <c r="S64" s="25"/>
      <c r="T64" s="26" t="str">
        <f t="shared" si="3"/>
        <v>NOT OK</v>
      </c>
      <c r="U64" s="26"/>
      <c r="V64" s="26"/>
      <c r="W64" s="26"/>
      <c r="X64" s="26"/>
      <c r="Y64" s="16" t="s">
        <v>169</v>
      </c>
      <c r="Z64" s="16" t="s">
        <v>169</v>
      </c>
    </row>
    <row r="65" spans="1:26" ht="13.5" thickBot="1">
      <c r="A65" s="13" t="s">
        <v>208</v>
      </c>
      <c r="B65" s="19" t="str">
        <f>_xll.BDP(A65&amp;" mtge ISIN",$B$4)</f>
        <v>GOAL 2006-1 A2</v>
      </c>
      <c r="C65" s="20">
        <f>H65</f>
        <v>1000000</v>
      </c>
      <c r="D65" s="21">
        <v>0</v>
      </c>
      <c r="E65" s="21" t="s">
        <v>150</v>
      </c>
      <c r="F65" s="23" t="b">
        <v>1</v>
      </c>
      <c r="G65" s="24" t="b">
        <v>1</v>
      </c>
      <c r="H65" s="30">
        <v>1000000</v>
      </c>
      <c r="I65" s="31">
        <v>1000000</v>
      </c>
      <c r="J65" t="str">
        <f>_xll.BDP($A65&amp;" mtge","MTG WAL","ALLOW_DYNAMIC_CASHFLOW_CALCS ","Y","MTG PREPAY SPEED",D65,"MTG PREPAY TYP",$E65)</f>
        <v>#N/A N/A</v>
      </c>
      <c r="K65" s="2" t="str">
        <f>_xll.BDP($A65&amp;" mtge","MTG_NXT_PAY_DT_SET_DT ")</f>
        <v>8/25/2016</v>
      </c>
      <c r="L65" s="2" t="e">
        <f>MAX(#REF!)</f>
        <v>#REF!</v>
      </c>
      <c r="M65" t="str">
        <f>_xll.BDP(A65&amp;" mtge ISIN","Maturity")</f>
        <v>8/25/2023</v>
      </c>
      <c r="N65" t="e">
        <f t="shared" si="6"/>
        <v>#REF!</v>
      </c>
      <c r="O65" s="15" t="e">
        <f>#REF!+#REF!</f>
        <v>#REF!</v>
      </c>
      <c r="P65" s="22" t="e">
        <f t="shared" si="7"/>
        <v>#REF!</v>
      </c>
      <c r="Q65">
        <f>_xll.BDP(A65&amp;" mtge ISIN",$Q$4)</f>
        <v>0</v>
      </c>
      <c r="R65" t="b">
        <f t="shared" si="2"/>
        <v>0</v>
      </c>
      <c r="S65" s="25"/>
      <c r="T65" s="26" t="str">
        <f t="shared" si="3"/>
        <v>NOT OK</v>
      </c>
      <c r="U65" s="26" t="s">
        <v>169</v>
      </c>
      <c r="V65" s="26" t="s">
        <v>169</v>
      </c>
      <c r="W65" s="26" t="s">
        <v>169</v>
      </c>
      <c r="X65" s="26"/>
      <c r="Y65" t="s">
        <v>169</v>
      </c>
      <c r="Z65" t="s">
        <v>169</v>
      </c>
    </row>
    <row r="66" spans="1:26" ht="13.5" thickBot="1">
      <c r="A66" s="13" t="s">
        <v>209</v>
      </c>
      <c r="B66" s="19" t="str">
        <f>_xll.BDP(A66&amp;" mtge ISIN",$B$4)</f>
        <v>GOAL 2006-1 A4</v>
      </c>
      <c r="C66" s="20">
        <f>H66</f>
        <v>1000000</v>
      </c>
      <c r="D66" s="21">
        <v>0</v>
      </c>
      <c r="E66" s="21" t="s">
        <v>150</v>
      </c>
      <c r="F66" s="23" t="b">
        <v>1</v>
      </c>
      <c r="G66" s="24" t="b">
        <v>1</v>
      </c>
      <c r="H66" s="30">
        <v>1000000</v>
      </c>
      <c r="I66" s="31">
        <v>1000000</v>
      </c>
      <c r="J66" t="str">
        <f>_xll.BDP($A66&amp;" mtge","MTG WAL","ALLOW_DYNAMIC_CASHFLOW_CALCS ","Y","MTG PREPAY SPEED",D66,"MTG PREPAY TYP",$E66)</f>
        <v>#N/A N/A</v>
      </c>
      <c r="K66" s="2" t="str">
        <f>_xll.BDP($A66&amp;" mtge","MTG_NXT_PAY_DT_SET_DT ")</f>
        <v>8/25/2016</v>
      </c>
      <c r="L66" s="2" t="e">
        <f>MAX(#REF!)</f>
        <v>#REF!</v>
      </c>
      <c r="M66" t="str">
        <f>_xll.BDP(A66&amp;" mtge ISIN","Maturity")</f>
        <v>11/27/2028</v>
      </c>
      <c r="N66" t="e">
        <f t="shared" si="6"/>
        <v>#REF!</v>
      </c>
      <c r="O66" s="15" t="e">
        <f>#REF!+#REF!</f>
        <v>#REF!</v>
      </c>
      <c r="P66" s="22" t="e">
        <f t="shared" si="7"/>
        <v>#REF!</v>
      </c>
      <c r="Q66">
        <f>_xll.BDP(A66&amp;" mtge ISIN",$Q$4)</f>
        <v>1</v>
      </c>
      <c r="R66" t="b">
        <f t="shared" si="2"/>
        <v>0</v>
      </c>
      <c r="S66" s="25"/>
      <c r="T66" s="26" t="str">
        <f t="shared" si="3"/>
        <v>NOT OK</v>
      </c>
      <c r="U66" s="26" t="s">
        <v>169</v>
      </c>
      <c r="V66" s="26" t="s">
        <v>169</v>
      </c>
      <c r="W66" s="26" t="s">
        <v>169</v>
      </c>
      <c r="X66" s="26"/>
      <c r="Y66" t="s">
        <v>169</v>
      </c>
      <c r="Z66" t="s">
        <v>169</v>
      </c>
    </row>
    <row r="67" spans="1:26" ht="13.5" thickBot="1">
      <c r="A67" s="13" t="s">
        <v>210</v>
      </c>
      <c r="B67" s="19" t="str">
        <f>_xll.BDP(A67&amp;" mtge ISIN",$B$4)</f>
        <v>GOAL 2007-1 A2</v>
      </c>
      <c r="C67" s="20">
        <f>I67</f>
        <v>1000000</v>
      </c>
      <c r="D67" s="21" t="s">
        <v>18</v>
      </c>
      <c r="E67" s="21" t="s">
        <v>150</v>
      </c>
      <c r="F67" s="23"/>
      <c r="G67" s="24" t="b">
        <v>1</v>
      </c>
      <c r="H67" s="30">
        <v>1000000</v>
      </c>
      <c r="I67" s="31">
        <v>1000000</v>
      </c>
      <c r="J67" t="str">
        <f>_xll.BDP($A67&amp;" mtge","MTG WAL","ALLOW_DYNAMIC_CASHFLOW_CALCS ","Y","MTG PREPAY SPEED",D67,"MTG PREPAY TYP",$E67)</f>
        <v>#N/A N/A</v>
      </c>
      <c r="K67" s="2" t="str">
        <f>_xll.BDP($A67&amp;" mtge","MTG_NXT_PAY_DT_SET_DT ")</f>
        <v>6/27/2016</v>
      </c>
      <c r="L67" s="2" t="e">
        <f>MAX(#REF!)</f>
        <v>#REF!</v>
      </c>
      <c r="M67" t="str">
        <f>_xll.BDP(A67&amp;" mtge ISIN","Maturity")</f>
        <v>3/25/2024</v>
      </c>
      <c r="N67" t="e">
        <f t="shared" si="6"/>
        <v>#REF!</v>
      </c>
      <c r="O67" s="15" t="e">
        <f>#REF!+#REF!</f>
        <v>#REF!</v>
      </c>
      <c r="P67" s="22" t="e">
        <f t="shared" si="7"/>
        <v>#REF!</v>
      </c>
      <c r="Q67">
        <f>_xll.BDP(A67&amp;" mtge ISIN",$Q$4)</f>
        <v>0</v>
      </c>
      <c r="R67" t="b">
        <f t="shared" si="2"/>
        <v>0</v>
      </c>
      <c r="S67" s="25"/>
      <c r="T67" s="26" t="str">
        <f t="shared" si="3"/>
        <v>NOT OK</v>
      </c>
      <c r="U67" s="26"/>
      <c r="V67" s="26"/>
      <c r="W67" s="26"/>
      <c r="X67" s="26"/>
      <c r="Y67" t="s">
        <v>169</v>
      </c>
      <c r="Z67" t="s">
        <v>169</v>
      </c>
    </row>
    <row r="68" spans="1:26" ht="13.5" thickBot="1">
      <c r="A68" s="13" t="s">
        <v>211</v>
      </c>
      <c r="B68" s="19" t="str">
        <f>_xll.BDP(A68&amp;" mtge ISIN",$B$4)</f>
        <v>GOAL 2007-1 A3</v>
      </c>
      <c r="C68" s="20">
        <f>H68</f>
        <v>1000000</v>
      </c>
      <c r="D68" s="21">
        <v>2</v>
      </c>
      <c r="E68" s="21" t="s">
        <v>150</v>
      </c>
      <c r="F68" s="23" t="b">
        <v>1</v>
      </c>
      <c r="G68" s="24" t="b">
        <v>1</v>
      </c>
      <c r="H68" s="30">
        <v>1000000</v>
      </c>
      <c r="I68" s="31">
        <v>1000000</v>
      </c>
      <c r="J68" t="str">
        <f>_xll.BDP($A68&amp;" mtge","MTG WAL","ALLOW_DYNAMIC_CASHFLOW_CALCS ","Y","MTG PREPAY SPEED",D68,"MTG PREPAY TYP",$E68)</f>
        <v>#N/A N/A</v>
      </c>
      <c r="K68" s="2" t="str">
        <f>_xll.BDP($A68&amp;" mtge","MTG_NXT_PAY_DT_SET_DT ")</f>
        <v>6/27/2016</v>
      </c>
      <c r="L68" s="2" t="e">
        <f>MAX(#REF!)</f>
        <v>#REF!</v>
      </c>
      <c r="M68" t="str">
        <f>_xll.BDP(A68&amp;" mtge ISIN","Maturity")</f>
        <v>9/25/2028</v>
      </c>
      <c r="N68" t="e">
        <f t="shared" si="6"/>
        <v>#REF!</v>
      </c>
      <c r="O68" s="15" t="e">
        <f>#REF!+#REF!</f>
        <v>#REF!</v>
      </c>
      <c r="P68" s="22" t="e">
        <f t="shared" si="7"/>
        <v>#REF!</v>
      </c>
      <c r="Q68">
        <f>_xll.BDP(A68&amp;" mtge ISIN",$Q$4)</f>
        <v>0.37207294820200004</v>
      </c>
      <c r="R68" t="b">
        <f t="shared" si="2"/>
        <v>0</v>
      </c>
      <c r="S68" s="25"/>
      <c r="T68" s="26" t="str">
        <f t="shared" si="3"/>
        <v>NOT OK</v>
      </c>
      <c r="U68" s="26" t="s">
        <v>169</v>
      </c>
      <c r="V68" s="26" t="s">
        <v>169</v>
      </c>
      <c r="W68" s="26" t="s">
        <v>169</v>
      </c>
      <c r="X68" s="26"/>
      <c r="Y68" t="s">
        <v>169</v>
      </c>
      <c r="Z68" t="s">
        <v>169</v>
      </c>
    </row>
    <row r="69" spans="1:26" ht="13.5" thickBot="1">
      <c r="A69" s="36" t="s">
        <v>212</v>
      </c>
      <c r="B69" s="19" t="str">
        <f>_xll.BDP(A69&amp;" mtge ISIN",$B$4)</f>
        <v>GOAL 2007-1 A4</v>
      </c>
      <c r="C69" s="20">
        <f>H69</f>
        <v>1000000</v>
      </c>
      <c r="D69" s="21" t="s">
        <v>18</v>
      </c>
      <c r="E69" s="21" t="s">
        <v>150</v>
      </c>
      <c r="F69" s="23" t="b">
        <v>1</v>
      </c>
      <c r="G69" s="24"/>
      <c r="H69" s="30">
        <v>1000000</v>
      </c>
      <c r="I69" s="31">
        <v>1000000</v>
      </c>
      <c r="J69">
        <f>_xll.BDP($A69&amp;" mtge","MTG WAL","ALLOW_DYNAMIC_CASHFLOW_CALCS ","Y","MTG PREPAY SPEED",D69,"MTG PREPAY TYP",$E69)</f>
        <v>11.49</v>
      </c>
      <c r="K69" s="2" t="str">
        <f>_xll.BDP($A69&amp;" mtge","MTG_NXT_PAY_DT_SET_DT ")</f>
        <v>6/27/2016</v>
      </c>
      <c r="L69" s="2" t="e">
        <f>MAX(#REF!)</f>
        <v>#REF!</v>
      </c>
      <c r="M69" t="str">
        <f>_xll.BDP(A69&amp;" mtge ISIN","Maturity")</f>
        <v>3/25/2036</v>
      </c>
      <c r="N69" t="e">
        <f t="shared" si="6"/>
        <v>#REF!</v>
      </c>
      <c r="O69" s="15" t="e">
        <f>#REF!+#REF!</f>
        <v>#REF!</v>
      </c>
      <c r="P69" s="22" t="e">
        <f t="shared" si="7"/>
        <v>#REF!</v>
      </c>
      <c r="Q69">
        <f>_xll.BDP(A69&amp;" mtge ISIN",$Q$4)</f>
        <v>1</v>
      </c>
      <c r="R69" t="b">
        <f t="shared" si="2"/>
        <v>0</v>
      </c>
      <c r="S69" s="25"/>
      <c r="T69" s="26" t="str">
        <f t="shared" si="3"/>
        <v>NOT OK</v>
      </c>
      <c r="U69" s="26" t="s">
        <v>169</v>
      </c>
      <c r="V69" s="26" t="s">
        <v>169</v>
      </c>
      <c r="W69" s="26" t="s">
        <v>169</v>
      </c>
      <c r="X69" s="26"/>
      <c r="Y69" s="16" t="e">
        <v>#REF!</v>
      </c>
      <c r="Z69" s="16" t="e">
        <v>#REF!</v>
      </c>
    </row>
    <row r="70" spans="1:26" ht="13.5" thickBot="1">
      <c r="A70" s="35" t="s">
        <v>213</v>
      </c>
      <c r="B70" s="19" t="str">
        <f>_xll.BDP(A70&amp;" mtge ISIN",$B$4)</f>
        <v>ISLLC 2005-1 A2</v>
      </c>
      <c r="C70" s="20">
        <f t="shared" ref="C70:C79" si="9">I70</f>
        <v>1000000</v>
      </c>
      <c r="D70" s="21">
        <v>0</v>
      </c>
      <c r="E70" s="21" t="s">
        <v>150</v>
      </c>
      <c r="F70" s="23"/>
      <c r="G70" s="24" t="b">
        <v>1</v>
      </c>
      <c r="H70" s="30">
        <v>1000000</v>
      </c>
      <c r="I70" s="31">
        <v>1000000</v>
      </c>
      <c r="J70" t="str">
        <f>_xll.BDP($A70&amp;" mtge","MTG WAL","ALLOW_DYNAMIC_CASHFLOW_CALCS ","Y","MTG PREPAY SPEED",D70,"MTG PREPAY TYP",$E70)</f>
        <v>#N/A N/A</v>
      </c>
      <c r="K70" s="2" t="str">
        <f>_xll.BDP($A70&amp;" mtge","MTG_NXT_PAY_DT_SET_DT ")</f>
        <v>6/27/2016</v>
      </c>
      <c r="L70" s="2" t="e">
        <f>MAX(#REF!)</f>
        <v>#REF!</v>
      </c>
      <c r="M70" t="str">
        <f>_xll.BDP(A70&amp;" mtge ISIN","Maturity")</f>
        <v>3/25/2022</v>
      </c>
      <c r="N70" t="e">
        <f t="shared" si="6"/>
        <v>#REF!</v>
      </c>
      <c r="O70" s="15" t="e">
        <f>#REF!+#REF!</f>
        <v>#REF!</v>
      </c>
      <c r="P70" s="22" t="e">
        <f t="shared" si="7"/>
        <v>#REF!</v>
      </c>
      <c r="Q70">
        <f>_xll.BDP(A70&amp;" mtge ISIN",$Q$4)</f>
        <v>0</v>
      </c>
      <c r="R70" t="b">
        <f t="shared" si="2"/>
        <v>0</v>
      </c>
      <c r="S70" s="25"/>
      <c r="T70" s="26" t="str">
        <f t="shared" si="3"/>
        <v>NOT OK</v>
      </c>
      <c r="U70" s="26"/>
      <c r="V70" s="26"/>
      <c r="W70" s="26"/>
      <c r="X70" s="56" t="s">
        <v>32</v>
      </c>
      <c r="Y70" t="s">
        <v>168</v>
      </c>
      <c r="Z70" t="s">
        <v>168</v>
      </c>
    </row>
    <row r="71" spans="1:26" ht="13.5" thickBot="1">
      <c r="A71" s="13" t="s">
        <v>214</v>
      </c>
      <c r="B71" s="19" t="str">
        <f>_xll.BDP(A71&amp;" mtge ISIN",$B$4)</f>
        <v>ISLLC 2005-1 A3</v>
      </c>
      <c r="C71" s="20">
        <f t="shared" si="9"/>
        <v>1000000</v>
      </c>
      <c r="D71" s="21">
        <v>0</v>
      </c>
      <c r="E71" s="21" t="s">
        <v>150</v>
      </c>
      <c r="F71" s="23"/>
      <c r="G71" s="24" t="b">
        <v>1</v>
      </c>
      <c r="H71" s="30">
        <v>1000000</v>
      </c>
      <c r="I71" s="31">
        <v>1000000</v>
      </c>
      <c r="J71" t="str">
        <f>_xll.BDP($A71&amp;" mtge","MTG WAL","ALLOW_DYNAMIC_CASHFLOW_CALCS ","Y","MTG PREPAY SPEED",D71,"MTG PREPAY TYP",$E71)</f>
        <v>#N/A N/A</v>
      </c>
      <c r="K71" s="2" t="str">
        <f>_xll.BDP($A71&amp;" mtge","MTG_NXT_PAY_DT_SET_DT ")</f>
        <v>6/27/2016</v>
      </c>
      <c r="L71" s="2" t="e">
        <f>MAX(#REF!)</f>
        <v>#REF!</v>
      </c>
      <c r="M71" t="str">
        <f>_xll.BDP(A71&amp;" mtge ISIN","Maturity")</f>
        <v>9/25/2037</v>
      </c>
      <c r="N71" t="e">
        <f t="shared" si="6"/>
        <v>#REF!</v>
      </c>
      <c r="O71" s="15" t="e">
        <f>#REF!+#REF!</f>
        <v>#REF!</v>
      </c>
      <c r="P71" s="22" t="e">
        <f t="shared" si="7"/>
        <v>#REF!</v>
      </c>
      <c r="Q71">
        <f>_xll.BDP(A71&amp;" mtge ISIN",$Q$4)</f>
        <v>0.866682018</v>
      </c>
      <c r="R71" t="b">
        <f t="shared" ref="R71:R134" si="10">IF(NOT(ISERROR(P71)),IF(P71&gt;0,ABS(P71-Q71)&lt;0.00001))</f>
        <v>0</v>
      </c>
      <c r="S71" s="25"/>
      <c r="T71" s="26" t="str">
        <f t="shared" ref="T71:T134" si="11">IF(R71,IF(N71,"OK", "NOT OK"),"NOT OK")</f>
        <v>NOT OK</v>
      </c>
      <c r="U71" s="26"/>
      <c r="V71" s="26"/>
      <c r="W71" s="26"/>
      <c r="X71" s="26"/>
      <c r="Y71" s="16" t="s">
        <v>169</v>
      </c>
      <c r="Z71" s="16" t="s">
        <v>169</v>
      </c>
    </row>
    <row r="72" spans="1:26" ht="13.5" thickBot="1">
      <c r="A72" s="12" t="s">
        <v>79</v>
      </c>
      <c r="B72" s="19" t="str">
        <f>_xll.BDP(A72&amp;" mtge ISIN",$B$4)</f>
        <v>KSLT 2005-A 1A2</v>
      </c>
      <c r="C72" s="20">
        <f t="shared" si="9"/>
        <v>1000000</v>
      </c>
      <c r="D72" s="21">
        <v>0</v>
      </c>
      <c r="E72" s="21" t="s">
        <v>150</v>
      </c>
      <c r="F72" s="23"/>
      <c r="G72" s="24" t="b">
        <v>1</v>
      </c>
      <c r="H72" s="30">
        <v>1000000</v>
      </c>
      <c r="I72" s="31">
        <v>1000000</v>
      </c>
      <c r="J72" t="str">
        <f>_xll.BDP($A72&amp;" mtge","MTG WAL","ALLOW_DYNAMIC_CASHFLOW_CALCS ","Y","MTG PREPAY SPEED",D72,"MTG PREPAY TYP",$E72)</f>
        <v>#N/A N/A</v>
      </c>
      <c r="K72" s="2" t="str">
        <f>_xll.BDP($A72&amp;" mtge","MTG_NXT_PAY_DT_SET_DT ")</f>
        <v>6/27/2016</v>
      </c>
      <c r="L72" s="2" t="e">
        <f>MAX(#REF!)</f>
        <v>#REF!</v>
      </c>
      <c r="M72" t="str">
        <f>_xll.BDP(A72&amp;" mtge ISIN","Maturity")</f>
        <v>6/27/2040</v>
      </c>
      <c r="N72" t="e">
        <f t="shared" si="6"/>
        <v>#REF!</v>
      </c>
      <c r="O72" s="15" t="e">
        <f>#REF!+#REF!</f>
        <v>#REF!</v>
      </c>
      <c r="P72" s="22" t="e">
        <f t="shared" si="7"/>
        <v>#REF!</v>
      </c>
      <c r="Q72">
        <f>_xll.BDP(A72&amp;" mtge ISIN",$Q$4)</f>
        <v>0.46078616090000002</v>
      </c>
      <c r="R72" t="b">
        <f t="shared" si="10"/>
        <v>0</v>
      </c>
      <c r="S72" s="25"/>
      <c r="T72" s="26" t="str">
        <f t="shared" si="11"/>
        <v>NOT OK</v>
      </c>
      <c r="U72" s="26"/>
      <c r="V72" s="26"/>
      <c r="W72" s="26"/>
      <c r="X72" s="26"/>
      <c r="Y72" t="s">
        <v>169</v>
      </c>
      <c r="Z72" t="s">
        <v>169</v>
      </c>
    </row>
    <row r="73" spans="1:26" ht="13.5" thickBot="1">
      <c r="A73" s="12" t="s">
        <v>215</v>
      </c>
      <c r="B73" s="19" t="str">
        <f>_xll.BDP(A73&amp;" mtge ISIN",$B$4)</f>
        <v>KSLT 2006-A 1A1</v>
      </c>
      <c r="C73" s="20">
        <f t="shared" si="9"/>
        <v>1000000</v>
      </c>
      <c r="D73" s="21">
        <v>0</v>
      </c>
      <c r="E73" s="21" t="s">
        <v>150</v>
      </c>
      <c r="F73" s="23"/>
      <c r="G73" s="24" t="b">
        <v>1</v>
      </c>
      <c r="H73" s="30">
        <v>1000000</v>
      </c>
      <c r="I73" s="31">
        <v>1000000</v>
      </c>
      <c r="J73" t="str">
        <f>_xll.BDP($A73&amp;" mtge","MTG WAL","ALLOW_DYNAMIC_CASHFLOW_CALCS ","Y","MTG PREPAY SPEED",D73,"MTG PREPAY TYP",$E73)</f>
        <v>#N/A N/A</v>
      </c>
      <c r="K73" s="2" t="str">
        <f>_xll.BDP($A73&amp;" mtge","MTG_NXT_PAY_DT_SET_DT ")</f>
        <v>6/27/2016</v>
      </c>
      <c r="L73" s="2" t="e">
        <f>MAX(#REF!)</f>
        <v>#REF!</v>
      </c>
      <c r="M73" t="str">
        <f>_xll.BDP(A73&amp;" mtge ISIN","Maturity")</f>
        <v>9/27/2020</v>
      </c>
      <c r="N73" t="e">
        <f t="shared" si="6"/>
        <v>#REF!</v>
      </c>
      <c r="O73" s="15" t="e">
        <f>#REF!+#REF!</f>
        <v>#REF!</v>
      </c>
      <c r="P73" s="22" t="e">
        <f t="shared" si="7"/>
        <v>#REF!</v>
      </c>
      <c r="Q73">
        <f>_xll.BDP(A73&amp;" mtge ISIN",$Q$4)</f>
        <v>0</v>
      </c>
      <c r="R73" t="b">
        <f t="shared" si="10"/>
        <v>0</v>
      </c>
      <c r="S73" s="25"/>
      <c r="T73" s="26" t="str">
        <f t="shared" si="11"/>
        <v>NOT OK</v>
      </c>
      <c r="U73" s="26"/>
      <c r="V73" s="26"/>
      <c r="W73" s="26"/>
      <c r="X73" s="26"/>
      <c r="Y73" t="s">
        <v>169</v>
      </c>
      <c r="Z73" t="s">
        <v>169</v>
      </c>
    </row>
    <row r="74" spans="1:26" ht="13.5" thickBot="1">
      <c r="A74" s="12" t="s">
        <v>216</v>
      </c>
      <c r="B74" s="19" t="str">
        <f>_xll.BDP(A74&amp;" mtge ISIN",$B$4)</f>
        <v>KSLT 2006-A 1A2</v>
      </c>
      <c r="C74" s="20">
        <f t="shared" si="9"/>
        <v>1000000</v>
      </c>
      <c r="D74" s="21">
        <v>0</v>
      </c>
      <c r="E74" s="21" t="s">
        <v>150</v>
      </c>
      <c r="F74" s="23"/>
      <c r="G74" s="24" t="b">
        <v>1</v>
      </c>
      <c r="H74" s="30">
        <v>1000000</v>
      </c>
      <c r="I74" s="31">
        <v>1000000</v>
      </c>
      <c r="J74" t="str">
        <f>_xll.BDP($A74&amp;" mtge","MTG WAL","ALLOW_DYNAMIC_CASHFLOW_CALCS ","Y","MTG PREPAY SPEED",D74,"MTG PREPAY TYP",$E74)</f>
        <v>#N/A N/A</v>
      </c>
      <c r="K74" s="2" t="str">
        <f>_xll.BDP($A74&amp;" mtge","MTG_NXT_PAY_DT_SET_DT ")</f>
        <v>6/27/2016</v>
      </c>
      <c r="L74" s="2" t="e">
        <f>MAX(#REF!)</f>
        <v>#REF!</v>
      </c>
      <c r="M74" t="str">
        <f>_xll.BDP(A74&amp;" mtge ISIN","Maturity")</f>
        <v>3/27/2038</v>
      </c>
      <c r="N74" t="e">
        <f t="shared" si="6"/>
        <v>#REF!</v>
      </c>
      <c r="O74" s="15" t="e">
        <f>#REF!+#REF!</f>
        <v>#REF!</v>
      </c>
      <c r="P74" s="22" t="e">
        <f t="shared" si="7"/>
        <v>#REF!</v>
      </c>
      <c r="Q74">
        <f>_xll.BDP(A74&amp;" mtge ISIN",$Q$4)</f>
        <v>0.56243838160000004</v>
      </c>
      <c r="R74" t="b">
        <f t="shared" si="10"/>
        <v>0</v>
      </c>
      <c r="S74" s="25"/>
      <c r="T74" s="26" t="str">
        <f t="shared" si="11"/>
        <v>NOT OK</v>
      </c>
      <c r="U74" s="26"/>
      <c r="V74" s="26"/>
      <c r="W74" s="26"/>
      <c r="X74" s="26"/>
      <c r="Y74" t="s">
        <v>169</v>
      </c>
      <c r="Z74" t="s">
        <v>169</v>
      </c>
    </row>
    <row r="75" spans="1:26" ht="13.5" thickBot="1">
      <c r="A75" s="13" t="s">
        <v>217</v>
      </c>
      <c r="B75" s="19" t="str">
        <f>_xll.BDP(A75&amp;" mtge ISIN",$B$4)</f>
        <v>MHESA 2005-1 B</v>
      </c>
      <c r="C75" s="20">
        <f t="shared" si="9"/>
        <v>1000000</v>
      </c>
      <c r="D75" s="21">
        <v>5</v>
      </c>
      <c r="E75" s="21" t="s">
        <v>150</v>
      </c>
      <c r="F75" s="23"/>
      <c r="G75" s="24" t="b">
        <v>1</v>
      </c>
      <c r="H75" s="30">
        <v>1000000</v>
      </c>
      <c r="I75" s="31">
        <v>1000000</v>
      </c>
      <c r="J75" t="str">
        <f>_xll.BDP($A75&amp;" mtge","MTG WAL","ALLOW_DYNAMIC_CASHFLOW_CALCS ","Y","MTG PREPAY SPEED",D75,"MTG PREPAY TYP",$E75)</f>
        <v>#N/A N/A</v>
      </c>
      <c r="K75" s="2" t="str">
        <f>_xll.BDP($A75&amp;" mtge","MTG_NXT_PAY_DT_SET_DT ")</f>
        <v>6/20/2016</v>
      </c>
      <c r="L75" s="2" t="e">
        <f>MAX(#REF!)</f>
        <v>#REF!</v>
      </c>
      <c r="M75" t="str">
        <f>_xll.BDP(A75&amp;" mtge ISIN","Maturity")</f>
        <v>6/20/2030</v>
      </c>
      <c r="N75" t="e">
        <f t="shared" si="6"/>
        <v>#REF!</v>
      </c>
      <c r="O75" s="15" t="e">
        <f>#REF!+#REF!</f>
        <v>#REF!</v>
      </c>
      <c r="P75" s="22" t="e">
        <f t="shared" si="7"/>
        <v>#REF!</v>
      </c>
      <c r="Q75">
        <f>_xll.BDP(A75&amp;" mtge ISIN",$Q$4)</f>
        <v>0.39252140340000002</v>
      </c>
      <c r="R75" t="b">
        <f t="shared" si="10"/>
        <v>0</v>
      </c>
      <c r="S75" s="25"/>
      <c r="T75" s="26" t="str">
        <f t="shared" si="11"/>
        <v>NOT OK</v>
      </c>
      <c r="U75" s="26"/>
      <c r="V75" s="26"/>
      <c r="W75" s="26"/>
      <c r="X75" s="26"/>
      <c r="Y75" t="s">
        <v>169</v>
      </c>
      <c r="Z75" t="s">
        <v>169</v>
      </c>
    </row>
    <row r="76" spans="1:26" ht="13.5" thickBot="1">
      <c r="A76" s="13" t="s">
        <v>218</v>
      </c>
      <c r="B76" s="19" t="str">
        <f>_xll.BDP(A76&amp;" mtge ISIN",$B$4)</f>
        <v>MHESA 2006-1 A</v>
      </c>
      <c r="C76" s="20">
        <f t="shared" si="9"/>
        <v>1000000</v>
      </c>
      <c r="D76" s="21">
        <v>0</v>
      </c>
      <c r="E76" s="21" t="s">
        <v>150</v>
      </c>
      <c r="F76" s="23"/>
      <c r="G76" s="24" t="b">
        <v>1</v>
      </c>
      <c r="H76" s="30">
        <v>1000000</v>
      </c>
      <c r="I76" s="31">
        <v>1000000</v>
      </c>
      <c r="J76" t="str">
        <f>_xll.BDP($A76&amp;" mtge","MTG WAL","ALLOW_DYNAMIC_CASHFLOW_CALCS ","Y","MTG PREPAY SPEED",D76,"MTG PREPAY TYP",$E76)</f>
        <v>#N/A N/A</v>
      </c>
      <c r="K76" s="2" t="str">
        <f>_xll.BDP($A76&amp;" mtge","MTG_NXT_PAY_DT_SET_DT ")</f>
        <v>6/20/2016</v>
      </c>
      <c r="L76" s="2" t="e">
        <f>MAX(#REF!)</f>
        <v>#REF!</v>
      </c>
      <c r="M76" t="str">
        <f>_xll.BDP(A76&amp;" mtge ISIN","Maturity")</f>
        <v>3/20/2024</v>
      </c>
      <c r="N76" t="e">
        <f t="shared" si="6"/>
        <v>#REF!</v>
      </c>
      <c r="O76" s="15" t="e">
        <f>#REF!+#REF!</f>
        <v>#REF!</v>
      </c>
      <c r="P76" s="22" t="e">
        <f t="shared" si="7"/>
        <v>#REF!</v>
      </c>
      <c r="Q76">
        <f>_xll.BDP(A76&amp;" mtge ISIN",$Q$4)</f>
        <v>0.144720537669</v>
      </c>
      <c r="R76" t="b">
        <f t="shared" si="10"/>
        <v>0</v>
      </c>
      <c r="S76" s="25"/>
      <c r="T76" s="26" t="str">
        <f t="shared" si="11"/>
        <v>NOT OK</v>
      </c>
      <c r="U76" s="26"/>
      <c r="V76" s="26"/>
      <c r="W76" s="26"/>
      <c r="X76" s="56" t="s">
        <v>32</v>
      </c>
      <c r="Y76" s="16" t="s">
        <v>168</v>
      </c>
      <c r="Z76" s="16" t="s">
        <v>168</v>
      </c>
    </row>
    <row r="77" spans="1:26" ht="13.5" thickBot="1">
      <c r="A77" s="13" t="s">
        <v>219</v>
      </c>
      <c r="B77" s="19" t="str">
        <f>_xll.BDP(A77&amp;" mtge ISIN",$B$4)</f>
        <v>NSLT 2006-2 A3</v>
      </c>
      <c r="C77" s="20">
        <f t="shared" si="9"/>
        <v>1000000</v>
      </c>
      <c r="D77" s="21">
        <v>50</v>
      </c>
      <c r="E77" s="21" t="s">
        <v>152</v>
      </c>
      <c r="F77" s="23"/>
      <c r="G77" s="24" t="b">
        <v>1</v>
      </c>
      <c r="H77" s="30">
        <v>1000000</v>
      </c>
      <c r="I77" s="31">
        <v>1000000</v>
      </c>
      <c r="J77" t="str">
        <f>_xll.BDP($A77&amp;" mtge","MTG WAL","ALLOW_DYNAMIC_CASHFLOW_CALCS ","Y","MTG PREPAY SPEED",D77,"MTG PREPAY TYP",$E77)</f>
        <v>#N/A N/A</v>
      </c>
      <c r="K77" s="2" t="str">
        <f>_xll.BDP($A77&amp;" mtge","MTG_NXT_PAY_DT_SET_DT ")</f>
        <v>7/25/2016</v>
      </c>
      <c r="L77" s="2" t="e">
        <f>MAX(#REF!)</f>
        <v>#REF!</v>
      </c>
      <c r="M77" t="str">
        <f>_xll.BDP(A77&amp;" mtge ISIN","Maturity")</f>
        <v>7/25/2022</v>
      </c>
      <c r="N77" t="e">
        <f t="shared" si="6"/>
        <v>#REF!</v>
      </c>
      <c r="O77" s="15" t="e">
        <f>#REF!+#REF!</f>
        <v>#REF!</v>
      </c>
      <c r="P77" s="22" t="e">
        <f t="shared" si="7"/>
        <v>#REF!</v>
      </c>
      <c r="Q77">
        <f>_xll.BDP(A77&amp;" mtge ISIN",$Q$4)</f>
        <v>0</v>
      </c>
      <c r="R77" t="b">
        <f t="shared" si="10"/>
        <v>0</v>
      </c>
      <c r="S77" s="25"/>
      <c r="T77" s="26" t="str">
        <f t="shared" si="11"/>
        <v>NOT OK</v>
      </c>
      <c r="U77" s="26"/>
      <c r="V77" s="26"/>
      <c r="W77" s="26"/>
      <c r="X77" s="26"/>
      <c r="Y77" t="s">
        <v>169</v>
      </c>
      <c r="Z77" t="s">
        <v>169</v>
      </c>
    </row>
    <row r="78" spans="1:26" ht="13.5" thickBot="1">
      <c r="A78" s="13" t="s">
        <v>220</v>
      </c>
      <c r="B78" s="19" t="str">
        <f>_xll.BDP(A78&amp;" mtge ISIN",$B$4)</f>
        <v>NSLT 2006-2 A5</v>
      </c>
      <c r="C78" s="20">
        <f t="shared" si="9"/>
        <v>1000000</v>
      </c>
      <c r="D78" s="21">
        <v>50</v>
      </c>
      <c r="E78" s="21" t="s">
        <v>152</v>
      </c>
      <c r="F78" s="23"/>
      <c r="G78" s="24" t="b">
        <v>1</v>
      </c>
      <c r="H78" s="30">
        <v>1000000</v>
      </c>
      <c r="I78" s="31">
        <v>1000000</v>
      </c>
      <c r="J78" t="str">
        <f>_xll.BDP($A78&amp;" mtge","MTG WAL","ALLOW_DYNAMIC_CASHFLOW_CALCS ","Y","MTG PREPAY SPEED",D78,"MTG PREPAY TYP",$E78)</f>
        <v>#N/A N/A</v>
      </c>
      <c r="K78" s="2" t="str">
        <f>_xll.BDP($A78&amp;" mtge","MTG_NXT_PAY_DT_SET_DT ")</f>
        <v>7/25/2016</v>
      </c>
      <c r="L78" s="2" t="e">
        <f>MAX(#REF!)</f>
        <v>#REF!</v>
      </c>
      <c r="M78" t="str">
        <f>_xll.BDP(A78&amp;" mtge ISIN","Maturity")</f>
        <v>1/25/2030</v>
      </c>
      <c r="N78" t="e">
        <f t="shared" si="6"/>
        <v>#REF!</v>
      </c>
      <c r="O78" s="15" t="e">
        <f>#REF!+#REF!</f>
        <v>#REF!</v>
      </c>
      <c r="P78" s="22" t="e">
        <f t="shared" si="7"/>
        <v>#REF!</v>
      </c>
      <c r="Q78">
        <f>_xll.BDP(A78&amp;" mtge ISIN",$Q$4)</f>
        <v>0.89774618559999997</v>
      </c>
      <c r="R78" t="b">
        <f t="shared" si="10"/>
        <v>0</v>
      </c>
      <c r="S78" s="25"/>
      <c r="T78" s="26" t="str">
        <f t="shared" si="11"/>
        <v>NOT OK</v>
      </c>
      <c r="U78" s="26"/>
      <c r="V78" s="26"/>
      <c r="W78" s="26"/>
      <c r="X78" s="26"/>
      <c r="Y78" s="16" t="s">
        <v>169</v>
      </c>
      <c r="Z78" s="16" t="s">
        <v>169</v>
      </c>
    </row>
    <row r="79" spans="1:26" ht="13.5" thickBot="1">
      <c r="A79" s="13" t="s">
        <v>221</v>
      </c>
      <c r="B79" s="19" t="str">
        <f>_xll.BDP(A79&amp;" mtge ISIN",$B$4)</f>
        <v>NSLT 2006-3 A4</v>
      </c>
      <c r="C79" s="20">
        <f t="shared" si="9"/>
        <v>1000000</v>
      </c>
      <c r="D79" s="21" t="s">
        <v>18</v>
      </c>
      <c r="E79" s="21" t="s">
        <v>150</v>
      </c>
      <c r="F79" s="23"/>
      <c r="G79" s="24" t="b">
        <v>1</v>
      </c>
      <c r="H79" s="30">
        <v>1000000</v>
      </c>
      <c r="I79" s="31">
        <v>1000000</v>
      </c>
      <c r="J79" t="str">
        <f>_xll.BDP($A79&amp;" mtge","MTG WAL","ALLOW_DYNAMIC_CASHFLOW_CALCS ","Y","MTG PREPAY SPEED",D79,"MTG PREPAY TYP",$E79)</f>
        <v>#N/A N/A</v>
      </c>
      <c r="K79" s="2" t="str">
        <f>_xll.BDP($A79&amp;" mtge","MTG_NXT_PAY_DT_SET_DT ")</f>
        <v>6/27/2016</v>
      </c>
      <c r="L79" s="2" t="e">
        <f>MAX(#REF!)</f>
        <v>#REF!</v>
      </c>
      <c r="M79" t="str">
        <f>_xll.BDP(A79&amp;" mtge ISIN","Maturity")</f>
        <v>12/27/2022</v>
      </c>
      <c r="N79" t="e">
        <f t="shared" si="6"/>
        <v>#REF!</v>
      </c>
      <c r="O79" s="15" t="e">
        <f>#REF!+#REF!</f>
        <v>#REF!</v>
      </c>
      <c r="P79" s="22" t="e">
        <f t="shared" si="7"/>
        <v>#REF!</v>
      </c>
      <c r="Q79">
        <f>_xll.BDP(A79&amp;" mtge ISIN",$Q$4)</f>
        <v>0.16505683660000001</v>
      </c>
      <c r="R79" t="b">
        <f t="shared" si="10"/>
        <v>0</v>
      </c>
      <c r="S79" s="25"/>
      <c r="T79" s="26" t="str">
        <f t="shared" si="11"/>
        <v>NOT OK</v>
      </c>
      <c r="U79" s="26"/>
      <c r="V79" s="26"/>
      <c r="W79" s="26"/>
      <c r="X79" s="26"/>
      <c r="Y79" t="s">
        <v>169</v>
      </c>
      <c r="Z79" t="s">
        <v>169</v>
      </c>
    </row>
    <row r="80" spans="1:26" ht="13.5" thickBot="1">
      <c r="A80" s="13" t="s">
        <v>222</v>
      </c>
      <c r="B80" s="19" t="str">
        <f>_xll.BDP(A80&amp;" mtge ISIN",$B$4)</f>
        <v>NSLT 2006-3 A5</v>
      </c>
      <c r="C80" s="20">
        <f>H80</f>
        <v>1000000</v>
      </c>
      <c r="D80" s="21" t="s">
        <v>18</v>
      </c>
      <c r="E80" s="21" t="s">
        <v>150</v>
      </c>
      <c r="F80" s="23" t="b">
        <v>1</v>
      </c>
      <c r="G80" s="24" t="b">
        <v>1</v>
      </c>
      <c r="H80" s="30">
        <v>1000000</v>
      </c>
      <c r="I80" s="31">
        <v>1000000</v>
      </c>
      <c r="J80" t="str">
        <f>_xll.BDP($A80&amp;" mtge","MTG WAL","ALLOW_DYNAMIC_CASHFLOW_CALCS ","Y","MTG PREPAY SPEED",D80,"MTG PREPAY TYP",$E80)</f>
        <v>#N/A N/A</v>
      </c>
      <c r="K80" s="2" t="str">
        <f>_xll.BDP($A80&amp;" mtge","MTG_NXT_PAY_DT_SET_DT ")</f>
        <v>6/27/2016</v>
      </c>
      <c r="L80" s="2" t="e">
        <f>MAX(#REF!)</f>
        <v>#REF!</v>
      </c>
      <c r="M80" t="str">
        <f>_xll.BDP(A80&amp;" mtge ISIN","Maturity")</f>
        <v>3/25/2027</v>
      </c>
      <c r="N80" t="e">
        <f t="shared" si="6"/>
        <v>#REF!</v>
      </c>
      <c r="O80" s="15" t="e">
        <f>#REF!+#REF!</f>
        <v>#REF!</v>
      </c>
      <c r="P80" s="22" t="e">
        <f t="shared" si="7"/>
        <v>#REF!</v>
      </c>
      <c r="Q80">
        <f>_xll.BDP(A80&amp;" mtge ISIN",$Q$4)</f>
        <v>1</v>
      </c>
      <c r="R80" t="b">
        <f t="shared" si="10"/>
        <v>0</v>
      </c>
      <c r="S80" s="25"/>
      <c r="T80" s="26" t="str">
        <f t="shared" si="11"/>
        <v>NOT OK</v>
      </c>
      <c r="U80" s="26" t="s">
        <v>169</v>
      </c>
      <c r="V80" s="26" t="s">
        <v>169</v>
      </c>
      <c r="W80" s="26" t="s">
        <v>169</v>
      </c>
      <c r="X80" s="26"/>
      <c r="Y80" t="s">
        <v>169</v>
      </c>
      <c r="Z80" t="s">
        <v>169</v>
      </c>
    </row>
    <row r="81" spans="1:26" ht="13.5" thickBot="1">
      <c r="A81" s="12" t="s">
        <v>223</v>
      </c>
      <c r="B81" s="19" t="str">
        <f>_xll.BDP(A81&amp;" mtge ISIN",$B$4)</f>
        <v>NSLT 2004-4 A4</v>
      </c>
      <c r="C81" s="20">
        <f>I81</f>
        <v>1000000</v>
      </c>
      <c r="D81" s="21">
        <v>0</v>
      </c>
      <c r="E81" s="21" t="s">
        <v>150</v>
      </c>
      <c r="F81" s="23" t="b">
        <v>1</v>
      </c>
      <c r="G81" s="24" t="b">
        <v>1</v>
      </c>
      <c r="H81" s="30">
        <v>1000000</v>
      </c>
      <c r="I81" s="31">
        <v>1000000</v>
      </c>
      <c r="J81" t="str">
        <f>_xll.BDP($A81&amp;" mtge","MTG WAL","ALLOW_DYNAMIC_CASHFLOW_CALCS ","Y","MTG PREPAY SPEED",D81,"MTG PREPAY TYP",$E81)</f>
        <v>#N/A N/A</v>
      </c>
      <c r="K81" s="2" t="str">
        <f>_xll.BDP($A81&amp;" mtge","MTG_NXT_PAY_DT_SET_DT ")</f>
        <v>7/25/2016</v>
      </c>
      <c r="L81" s="2" t="e">
        <f>MAX(#REF!)</f>
        <v>#REF!</v>
      </c>
      <c r="M81" t="str">
        <f>_xll.BDP(A81&amp;" mtge ISIN","Maturity")</f>
        <v>4/25/2021</v>
      </c>
      <c r="N81" t="e">
        <f t="shared" si="6"/>
        <v>#REF!</v>
      </c>
      <c r="O81" s="15" t="e">
        <f>#REF!+#REF!</f>
        <v>#REF!</v>
      </c>
      <c r="P81" s="22" t="e">
        <f t="shared" si="7"/>
        <v>#REF!</v>
      </c>
      <c r="Q81">
        <f>_xll.BDP(A81&amp;" mtge ISIN",$Q$4)</f>
        <v>0</v>
      </c>
      <c r="R81" t="b">
        <f t="shared" si="10"/>
        <v>0</v>
      </c>
      <c r="S81" s="25"/>
      <c r="T81" s="26" t="str">
        <f t="shared" si="11"/>
        <v>NOT OK</v>
      </c>
      <c r="U81" s="56" t="s">
        <v>32</v>
      </c>
      <c r="V81" s="56" t="s">
        <v>32</v>
      </c>
      <c r="W81" s="56" t="s">
        <v>32</v>
      </c>
      <c r="X81" s="56" t="s">
        <v>32</v>
      </c>
      <c r="Y81" t="s">
        <v>168</v>
      </c>
      <c r="Z81" t="s">
        <v>168</v>
      </c>
    </row>
    <row r="82" spans="1:26" ht="13.5" thickBot="1">
      <c r="A82" s="12" t="s">
        <v>224</v>
      </c>
      <c r="B82" s="19" t="str">
        <f>_xll.BDP(A82&amp;" mtge ISIN",$B$4)</f>
        <v>NSLT 2004-4 A5</v>
      </c>
      <c r="C82" s="20">
        <f>I82</f>
        <v>1000000</v>
      </c>
      <c r="D82" s="21">
        <v>0</v>
      </c>
      <c r="E82" s="21" t="s">
        <v>150</v>
      </c>
      <c r="F82" s="23"/>
      <c r="G82" s="24" t="b">
        <v>1</v>
      </c>
      <c r="H82" s="30">
        <v>85000000</v>
      </c>
      <c r="I82" s="31">
        <v>1000000</v>
      </c>
      <c r="J82" t="str">
        <f>_xll.BDP($A82&amp;" mtge","MTG WAL","ALLOW_DYNAMIC_CASHFLOW_CALCS ","Y","MTG PREPAY SPEED",D82,"MTG PREPAY TYP",$E82)</f>
        <v>#N/A N/A</v>
      </c>
      <c r="K82" s="2" t="str">
        <f>_xll.BDP($A82&amp;" mtge","MTG_NXT_PAY_DT_SET_DT ")</f>
        <v>7/25/2016</v>
      </c>
      <c r="L82" s="2" t="e">
        <f>MAX(#REF!)</f>
        <v>#REF!</v>
      </c>
      <c r="M82" t="str">
        <f>_xll.BDP(A82&amp;" mtge ISIN","Maturity")</f>
        <v>1/25/2037</v>
      </c>
      <c r="N82" t="e">
        <f t="shared" si="6"/>
        <v>#REF!</v>
      </c>
      <c r="O82" s="15" t="e">
        <f>#REF!+#REF!</f>
        <v>#REF!</v>
      </c>
      <c r="P82" s="22" t="e">
        <f t="shared" si="7"/>
        <v>#REF!</v>
      </c>
      <c r="Q82">
        <f>_xll.BDP(A82&amp;" mtge ISIN",$Q$4)</f>
        <v>0.62739714639999999</v>
      </c>
      <c r="R82" t="b">
        <f t="shared" si="10"/>
        <v>0</v>
      </c>
      <c r="S82" s="25"/>
      <c r="T82" s="26" t="str">
        <f t="shared" si="11"/>
        <v>NOT OK</v>
      </c>
      <c r="U82" s="26"/>
      <c r="V82" s="26"/>
      <c r="W82" s="26"/>
      <c r="X82" s="26"/>
      <c r="Y82" t="s">
        <v>169</v>
      </c>
      <c r="Z82" t="s">
        <v>169</v>
      </c>
    </row>
    <row r="83" spans="1:26" ht="13.5" thickBot="1">
      <c r="A83" s="12" t="s">
        <v>225</v>
      </c>
      <c r="B83" s="19" t="str">
        <f>_xll.BDP(A83&amp;" mtge ISIN",$B$4)</f>
        <v>NSLT 2005-1 A5</v>
      </c>
      <c r="C83" s="20">
        <f>I83</f>
        <v>1000000</v>
      </c>
      <c r="D83" s="21" t="s">
        <v>18</v>
      </c>
      <c r="E83" s="21" t="s">
        <v>150</v>
      </c>
      <c r="F83" s="23"/>
      <c r="G83" s="24" t="b">
        <v>1</v>
      </c>
      <c r="H83" s="30">
        <v>1000000</v>
      </c>
      <c r="I83" s="31">
        <v>1000000</v>
      </c>
      <c r="J83" t="str">
        <f>_xll.BDP($A83&amp;" mtge","MTG WAL","ALLOW_DYNAMIC_CASHFLOW_CALCS ","Y","MTG PREPAY SPEED",D83,"MTG PREPAY TYP",$E83)</f>
        <v>#N/A N/A</v>
      </c>
      <c r="K83" s="2" t="str">
        <f>_xll.BDP($A83&amp;" mtge","MTG_NXT_PAY_DT_SET_DT ")</f>
        <v>7/25/2016</v>
      </c>
      <c r="L83" s="2" t="e">
        <f>MAX(#REF!)</f>
        <v>#REF!</v>
      </c>
      <c r="M83" t="str">
        <f>_xll.BDP(A83&amp;" mtge ISIN","Maturity")</f>
        <v>10/25/2033</v>
      </c>
      <c r="N83" t="e">
        <f t="shared" si="6"/>
        <v>#REF!</v>
      </c>
      <c r="O83" s="15" t="e">
        <f>#REF!+#REF!</f>
        <v>#REF!</v>
      </c>
      <c r="P83" s="22" t="e">
        <f t="shared" si="7"/>
        <v>#REF!</v>
      </c>
      <c r="Q83">
        <f>_xll.BDP(A83&amp;" mtge ISIN",$Q$4)</f>
        <v>1</v>
      </c>
      <c r="R83" t="b">
        <f t="shared" si="10"/>
        <v>0</v>
      </c>
      <c r="S83" s="25"/>
      <c r="T83" s="26" t="str">
        <f t="shared" si="11"/>
        <v>NOT OK</v>
      </c>
      <c r="U83" s="26"/>
      <c r="V83" s="26"/>
      <c r="W83" s="26"/>
      <c r="X83" s="26"/>
      <c r="Y83" s="16" t="s">
        <v>169</v>
      </c>
      <c r="Z83" s="16" t="s">
        <v>169</v>
      </c>
    </row>
    <row r="84" spans="1:26" ht="13.5" thickBot="1">
      <c r="A84" s="13" t="s">
        <v>226</v>
      </c>
      <c r="B84" s="19" t="str">
        <f>_xll.BDP(A84&amp;" mtge ISIN",$B$4)</f>
        <v>NSLT 2005-2 A5</v>
      </c>
      <c r="C84" s="20">
        <f>I84</f>
        <v>1000000</v>
      </c>
      <c r="D84" s="21" t="s">
        <v>18</v>
      </c>
      <c r="E84" s="21" t="s">
        <v>150</v>
      </c>
      <c r="F84" s="23"/>
      <c r="G84" s="24" t="b">
        <v>1</v>
      </c>
      <c r="H84" s="30">
        <v>1000000</v>
      </c>
      <c r="I84" s="31">
        <v>1000000</v>
      </c>
      <c r="J84" t="str">
        <f>_xll.BDP($A84&amp;" mtge","MTG WAL","ALLOW_DYNAMIC_CASHFLOW_CALCS ","Y","MTG PREPAY SPEED",D84,"MTG PREPAY TYP",$E84)</f>
        <v>#N/A N/A</v>
      </c>
      <c r="K84" s="2" t="str">
        <f>_xll.BDP($A84&amp;" mtge","MTG_NXT_PAY_DT_SET_DT ")</f>
        <v>6/22/2016</v>
      </c>
      <c r="L84" s="2" t="e">
        <f>MAX(#REF!)</f>
        <v>#REF!</v>
      </c>
      <c r="M84" t="str">
        <f>_xll.BDP(A84&amp;" mtge ISIN","Maturity")</f>
        <v>3/23/2037</v>
      </c>
      <c r="N84" t="e">
        <f t="shared" si="6"/>
        <v>#REF!</v>
      </c>
      <c r="O84" s="15" t="e">
        <f>#REF!+#REF!</f>
        <v>#REF!</v>
      </c>
      <c r="P84" s="22" t="e">
        <f t="shared" si="7"/>
        <v>#REF!</v>
      </c>
      <c r="Q84">
        <f>_xll.BDP(A84&amp;" mtge ISIN",$Q$4)</f>
        <v>1</v>
      </c>
      <c r="R84" t="b">
        <f t="shared" si="10"/>
        <v>0</v>
      </c>
      <c r="S84" s="25"/>
      <c r="T84" s="26" t="str">
        <f t="shared" si="11"/>
        <v>NOT OK</v>
      </c>
      <c r="U84" s="26"/>
      <c r="V84" s="26"/>
      <c r="W84" s="26"/>
      <c r="X84" s="26"/>
      <c r="Y84" t="s">
        <v>169</v>
      </c>
      <c r="Z84" t="s">
        <v>169</v>
      </c>
    </row>
    <row r="85" spans="1:26" ht="13.5" thickBot="1">
      <c r="A85" s="13" t="s">
        <v>227</v>
      </c>
      <c r="B85" s="19" t="str">
        <f>_xll.BDP(A85&amp;" mtge ISIN",$B$4)</f>
        <v>NSLT 2005-3 A5</v>
      </c>
      <c r="C85" s="20">
        <f>I85</f>
        <v>1000000</v>
      </c>
      <c r="D85" s="21">
        <v>0</v>
      </c>
      <c r="E85" s="21" t="s">
        <v>150</v>
      </c>
      <c r="F85" s="23"/>
      <c r="G85" s="24" t="b">
        <v>1</v>
      </c>
      <c r="H85" s="30">
        <v>1000000</v>
      </c>
      <c r="I85" s="31">
        <v>1000000</v>
      </c>
      <c r="J85" t="str">
        <f>_xll.BDP($A85&amp;" mtge","MTG WAL","ALLOW_DYNAMIC_CASHFLOW_CALCS ","Y","MTG PREPAY SPEED",D85,"MTG PREPAY TYP",$E85)</f>
        <v>#N/A N/A</v>
      </c>
      <c r="K85" s="2" t="str">
        <f>_xll.BDP($A85&amp;" mtge","MTG_NXT_PAY_DT_SET_DT ")</f>
        <v>6/22/2016</v>
      </c>
      <c r="L85" s="2" t="e">
        <f>MAX(#REF!)</f>
        <v>#REF!</v>
      </c>
      <c r="M85" t="str">
        <f>_xll.BDP(A85&amp;" mtge ISIN","Maturity")</f>
        <v>12/24/2035</v>
      </c>
      <c r="N85" t="e">
        <f t="shared" si="6"/>
        <v>#REF!</v>
      </c>
      <c r="O85" s="15" t="e">
        <f>#REF!+#REF!</f>
        <v>#REF!</v>
      </c>
      <c r="P85" s="22" t="e">
        <f t="shared" si="7"/>
        <v>#REF!</v>
      </c>
      <c r="Q85">
        <f>_xll.BDP(A85&amp;" mtge ISIN",$Q$4)</f>
        <v>1</v>
      </c>
      <c r="R85" t="b">
        <f t="shared" si="10"/>
        <v>0</v>
      </c>
      <c r="S85" s="25"/>
      <c r="T85" s="26" t="str">
        <f t="shared" si="11"/>
        <v>NOT OK</v>
      </c>
      <c r="U85" s="26"/>
      <c r="V85" s="26"/>
      <c r="W85" s="26"/>
      <c r="X85" s="26"/>
      <c r="Y85" s="16" t="s">
        <v>169</v>
      </c>
      <c r="Z85" s="16" t="s">
        <v>169</v>
      </c>
    </row>
    <row r="86" spans="1:26" ht="13.5" thickBot="1">
      <c r="A86" s="7" t="s">
        <v>111</v>
      </c>
      <c r="B86" s="19" t="str">
        <f>_xll.BDP(A86&amp;" mtge ISIN",$B$4)</f>
        <v>NSLT 2006-1 A5</v>
      </c>
      <c r="C86" s="20">
        <f>H86</f>
        <v>1000000</v>
      </c>
      <c r="D86" s="21" t="s">
        <v>18</v>
      </c>
      <c r="E86" s="21" t="s">
        <v>150</v>
      </c>
      <c r="F86" s="23" t="b">
        <v>1</v>
      </c>
      <c r="G86" s="24"/>
      <c r="H86" s="30">
        <v>1000000</v>
      </c>
      <c r="I86" s="31">
        <v>1000000</v>
      </c>
      <c r="J86" t="str">
        <f>_xll.BDP($A86&amp;" mtge","MTG WAL","ALLOW_DYNAMIC_CASHFLOW_CALCS ","Y","MTG PREPAY SPEED",D86,"MTG PREPAY TYP",$E86)</f>
        <v>#N/A N/A</v>
      </c>
      <c r="K86" s="2" t="str">
        <f>_xll.BDP($A86&amp;" mtge","MTG_NXT_PAY_DT_SET_DT ")</f>
        <v>8/23/2016</v>
      </c>
      <c r="L86" s="2" t="e">
        <f>MAX(#REF!)</f>
        <v>#REF!</v>
      </c>
      <c r="M86" t="str">
        <f>_xll.BDP(A86&amp;" mtge ISIN","Maturity")</f>
        <v>8/23/2027</v>
      </c>
      <c r="N86" t="e">
        <f t="shared" si="6"/>
        <v>#REF!</v>
      </c>
      <c r="O86" s="15" t="e">
        <f>#REF!+#REF!</f>
        <v>#REF!</v>
      </c>
      <c r="P86" s="22" t="e">
        <f t="shared" si="7"/>
        <v>#REF!</v>
      </c>
      <c r="Q86">
        <f>_xll.BDP(A86&amp;" mtge ISIN",$Q$4)</f>
        <v>0.94244973310000002</v>
      </c>
      <c r="R86" t="b">
        <f t="shared" si="10"/>
        <v>0</v>
      </c>
      <c r="S86" s="25"/>
      <c r="T86" s="26" t="str">
        <f t="shared" si="11"/>
        <v>NOT OK</v>
      </c>
      <c r="U86" s="26" t="s">
        <v>169</v>
      </c>
      <c r="V86" s="26" t="s">
        <v>169</v>
      </c>
      <c r="W86" s="26" t="s">
        <v>169</v>
      </c>
      <c r="X86" s="26"/>
      <c r="Y86" t="e">
        <v>#REF!</v>
      </c>
      <c r="Z86" t="e">
        <v>#REF!</v>
      </c>
    </row>
    <row r="87" spans="1:26" ht="13.5" thickBot="1">
      <c r="A87" s="13" t="s">
        <v>228</v>
      </c>
      <c r="B87" s="19" t="str">
        <f>_xll.BDP(A87&amp;" mtge ISIN",$B$4)</f>
        <v>NSLC 2004-1A A2</v>
      </c>
      <c r="C87" s="20">
        <f>I87</f>
        <v>1000000</v>
      </c>
      <c r="D87" s="21">
        <v>0</v>
      </c>
      <c r="E87" s="21" t="s">
        <v>150</v>
      </c>
      <c r="F87" s="23"/>
      <c r="G87" s="24" t="b">
        <v>1</v>
      </c>
      <c r="H87" s="30">
        <v>1000000</v>
      </c>
      <c r="I87" s="31">
        <v>1000000</v>
      </c>
      <c r="J87">
        <f>_xll.BDP($A87&amp;" mtge","MTG WAL","ALLOW_DYNAMIC_CASHFLOW_CALCS ","Y","MTG PREPAY SPEED",D87,"MTG PREPAY TYP",$E87)</f>
        <v>6.9300000000000006</v>
      </c>
      <c r="K87" s="2" t="str">
        <f>_xll.BDP($A87&amp;" mtge","MTG_NXT_PAY_DT_SET_DT ")</f>
        <v>8/25/2016</v>
      </c>
      <c r="L87" s="2" t="e">
        <f>MAX(#REF!)</f>
        <v>#REF!</v>
      </c>
      <c r="M87" t="str">
        <f>_xll.BDP(A87&amp;" mtge ISIN","Maturity")</f>
        <v>8/26/2030</v>
      </c>
      <c r="N87" t="e">
        <f t="shared" si="6"/>
        <v>#REF!</v>
      </c>
      <c r="O87" s="15" t="e">
        <f>#REF!+#REF!</f>
        <v>#REF!</v>
      </c>
      <c r="P87" s="22" t="e">
        <f t="shared" si="7"/>
        <v>#REF!</v>
      </c>
      <c r="Q87">
        <f>_xll.BDP(A87&amp;" mtge ISIN",$Q$4)</f>
        <v>0.83310752688199996</v>
      </c>
      <c r="R87" t="b">
        <f t="shared" si="10"/>
        <v>0</v>
      </c>
      <c r="S87" s="25"/>
      <c r="T87" s="26" t="str">
        <f t="shared" si="11"/>
        <v>NOT OK</v>
      </c>
      <c r="U87" s="26"/>
      <c r="V87" s="26"/>
      <c r="W87" s="26"/>
      <c r="X87" s="26"/>
      <c r="Y87" t="s">
        <v>169</v>
      </c>
      <c r="Z87" t="s">
        <v>169</v>
      </c>
    </row>
    <row r="88" spans="1:26" ht="13.5" thickBot="1">
      <c r="A88" s="12" t="s">
        <v>229</v>
      </c>
      <c r="B88" s="19" t="str">
        <f>_xll.BDP(A88&amp;" mtge ISIN",$B$4)</f>
        <v>NSLT 2007-1 A2</v>
      </c>
      <c r="C88" s="20">
        <f>I88</f>
        <v>1000000</v>
      </c>
      <c r="D88" s="21">
        <v>50</v>
      </c>
      <c r="E88" s="21" t="s">
        <v>152</v>
      </c>
      <c r="F88" s="23"/>
      <c r="G88" s="24" t="b">
        <v>1</v>
      </c>
      <c r="H88" s="30">
        <v>1000000</v>
      </c>
      <c r="I88" s="31">
        <v>1000000</v>
      </c>
      <c r="J88">
        <f>_xll.BDP($A88&amp;" mtge","MTG WAL","ALLOW_DYNAMIC_CASHFLOW_CALCS ","Y","MTG PREPAY SPEED",D88,"MTG PREPAY TYP",$E88)</f>
        <v>1.25</v>
      </c>
      <c r="K88" s="2" t="str">
        <f>_xll.BDP($A88&amp;" mtge","MTG_NXT_PAY_DT_SET_DT ")</f>
        <v>8/25/2016</v>
      </c>
      <c r="L88" s="2" t="e">
        <f>MAX(#REF!)</f>
        <v>#REF!</v>
      </c>
      <c r="M88" t="str">
        <f>_xll.BDP(A88&amp;" mtge ISIN","Maturity")</f>
        <v>8/25/2021</v>
      </c>
      <c r="N88" t="e">
        <f t="shared" si="6"/>
        <v>#REF!</v>
      </c>
      <c r="O88" s="15" t="e">
        <f>#REF!+#REF!</f>
        <v>#REF!</v>
      </c>
      <c r="P88" s="22" t="e">
        <f t="shared" si="7"/>
        <v>#REF!</v>
      </c>
      <c r="Q88">
        <f>_xll.BDP(A88&amp;" mtge ISIN",$Q$4)</f>
        <v>0.56320698170499983</v>
      </c>
      <c r="R88" t="b">
        <f t="shared" si="10"/>
        <v>0</v>
      </c>
      <c r="S88" s="25"/>
      <c r="T88" s="26" t="str">
        <f t="shared" si="11"/>
        <v>NOT OK</v>
      </c>
      <c r="U88" s="26"/>
      <c r="V88" s="26"/>
      <c r="W88" s="26"/>
      <c r="X88" s="26"/>
      <c r="Y88" t="s">
        <v>169</v>
      </c>
      <c r="Z88" t="s">
        <v>169</v>
      </c>
    </row>
    <row r="89" spans="1:26" ht="13.5" thickBot="1">
      <c r="A89" s="12" t="s">
        <v>230</v>
      </c>
      <c r="B89" s="19" t="str">
        <f>_xll.BDP(A89&amp;" mtge ISIN",$B$4)</f>
        <v>NSLT 2007-1 A3</v>
      </c>
      <c r="C89" s="20">
        <f>I89</f>
        <v>1000000</v>
      </c>
      <c r="D89" s="21">
        <v>50</v>
      </c>
      <c r="E89" s="21" t="s">
        <v>152</v>
      </c>
      <c r="F89" s="23"/>
      <c r="G89" s="24" t="b">
        <v>1</v>
      </c>
      <c r="H89" s="30">
        <v>1000000</v>
      </c>
      <c r="I89" s="31">
        <v>1000000</v>
      </c>
      <c r="J89">
        <f>_xll.BDP($A89&amp;" mtge","MTG WAL","ALLOW_DYNAMIC_CASHFLOW_CALCS ","Y","MTG PREPAY SPEED",D89,"MTG PREPAY TYP",$E89)</f>
        <v>4.59</v>
      </c>
      <c r="K89" s="2" t="str">
        <f>_xll.BDP($A89&amp;" mtge","MTG_NXT_PAY_DT_SET_DT ")</f>
        <v>8/25/2016</v>
      </c>
      <c r="L89" s="2" t="e">
        <f>MAX(#REF!)</f>
        <v>#REF!</v>
      </c>
      <c r="M89" t="str">
        <f>_xll.BDP(A89&amp;" mtge ISIN","Maturity")</f>
        <v>5/27/2025</v>
      </c>
      <c r="N89" t="e">
        <f t="shared" si="6"/>
        <v>#REF!</v>
      </c>
      <c r="O89" s="15" t="e">
        <f>#REF!+#REF!</f>
        <v>#REF!</v>
      </c>
      <c r="P89" s="22" t="e">
        <f t="shared" si="7"/>
        <v>#REF!</v>
      </c>
      <c r="Q89">
        <f>_xll.BDP(A89&amp;" mtge ISIN",$Q$4)</f>
        <v>1</v>
      </c>
      <c r="R89" t="b">
        <f t="shared" si="10"/>
        <v>0</v>
      </c>
      <c r="S89" s="25"/>
      <c r="T89" s="26" t="str">
        <f t="shared" si="11"/>
        <v>NOT OK</v>
      </c>
      <c r="U89" s="26"/>
      <c r="V89" s="26"/>
      <c r="W89" s="26"/>
      <c r="X89" s="26"/>
      <c r="Y89" t="s">
        <v>169</v>
      </c>
      <c r="Z89" t="s">
        <v>169</v>
      </c>
    </row>
    <row r="90" spans="1:26" ht="13.5" thickBot="1">
      <c r="A90" s="12" t="s">
        <v>231</v>
      </c>
      <c r="B90" s="19" t="str">
        <f>_xll.BDP(A90&amp;" mtge ISIN",$B$4)</f>
        <v>NSLT 2007-1 A4</v>
      </c>
      <c r="C90" s="20">
        <f>H90</f>
        <v>1000000</v>
      </c>
      <c r="D90" s="21">
        <v>50</v>
      </c>
      <c r="E90" s="21" t="s">
        <v>152</v>
      </c>
      <c r="F90" s="23" t="b">
        <v>1</v>
      </c>
      <c r="G90" s="24" t="b">
        <v>1</v>
      </c>
      <c r="H90" s="30">
        <v>1000000</v>
      </c>
      <c r="I90" s="31">
        <v>1000000</v>
      </c>
      <c r="J90">
        <f>_xll.BDP($A90&amp;" mtge","MTG WAL","ALLOW_DYNAMIC_CASHFLOW_CALCS ","Y","MTG PREPAY SPEED",D90,"MTG PREPAY TYP",$E90)</f>
        <v>12.19</v>
      </c>
      <c r="K90" s="2" t="str">
        <f>_xll.BDP($A90&amp;" mtge","MTG_NXT_PAY_DT_SET_DT ")</f>
        <v>8/25/2016</v>
      </c>
      <c r="L90" s="2" t="e">
        <f>MAX(#REF!)</f>
        <v>#REF!</v>
      </c>
      <c r="M90" t="str">
        <f>_xll.BDP(A90&amp;" mtge ISIN","Maturity")</f>
        <v>8/27/2036</v>
      </c>
      <c r="N90" t="e">
        <f t="shared" si="6"/>
        <v>#REF!</v>
      </c>
      <c r="O90" s="15" t="e">
        <f>#REF!+#REF!</f>
        <v>#REF!</v>
      </c>
      <c r="P90" s="22" t="e">
        <f t="shared" si="7"/>
        <v>#REF!</v>
      </c>
      <c r="Q90">
        <f>_xll.BDP(A90&amp;" mtge ISIN",$Q$4)</f>
        <v>1</v>
      </c>
      <c r="R90" t="b">
        <f t="shared" si="10"/>
        <v>0</v>
      </c>
      <c r="S90" s="25"/>
      <c r="T90" s="26" t="str">
        <f t="shared" si="11"/>
        <v>NOT OK</v>
      </c>
      <c r="U90" s="26" t="s">
        <v>169</v>
      </c>
      <c r="V90" s="26" t="s">
        <v>169</v>
      </c>
      <c r="W90" s="26" t="s">
        <v>169</v>
      </c>
      <c r="X90" s="26"/>
      <c r="Y90" s="16" t="s">
        <v>169</v>
      </c>
      <c r="Z90" s="16" t="s">
        <v>169</v>
      </c>
    </row>
    <row r="91" spans="1:26" ht="13.5" thickBot="1">
      <c r="A91" s="7" t="s">
        <v>112</v>
      </c>
      <c r="B91" s="19" t="str">
        <f>_xll.BDP(A91&amp;" mtge ISIN",$B$4)</f>
        <v>NSLT 2007-2A A3L</v>
      </c>
      <c r="C91" s="20">
        <f>H91</f>
        <v>1000000</v>
      </c>
      <c r="D91" s="21">
        <v>50</v>
      </c>
      <c r="E91" s="21" t="s">
        <v>152</v>
      </c>
      <c r="F91" s="23" t="b">
        <v>1</v>
      </c>
      <c r="G91" s="24"/>
      <c r="H91" s="30">
        <v>1000000</v>
      </c>
      <c r="I91" s="31">
        <v>1000000</v>
      </c>
      <c r="J91">
        <f>_xll.BDP($A91&amp;" mtge","MTG WAL","ALLOW_DYNAMIC_CASHFLOW_CALCS ","Y","MTG PREPAY SPEED",D91,"MTG PREPAY TYP",$E91)</f>
        <v>3.7800000000000002</v>
      </c>
      <c r="K91" s="2" t="str">
        <f>_xll.BDP($A91&amp;" mtge","MTG_NXT_PAY_DT_SET_DT ")</f>
        <v>6/27/2016</v>
      </c>
      <c r="L91" s="2" t="e">
        <f>MAX(#REF!)</f>
        <v>#REF!</v>
      </c>
      <c r="M91" t="str">
        <f>_xll.BDP(A91&amp;" mtge ISIN","Maturity")</f>
        <v>3/25/2026</v>
      </c>
      <c r="N91" t="e">
        <f t="shared" si="6"/>
        <v>#REF!</v>
      </c>
      <c r="O91" s="15" t="e">
        <f>#REF!+#REF!</f>
        <v>#REF!</v>
      </c>
      <c r="P91" s="22" t="e">
        <f t="shared" si="7"/>
        <v>#REF!</v>
      </c>
      <c r="Q91">
        <f>_xll.BDP(A91&amp;" mtge ISIN",$Q$4)</f>
        <v>0.75384481211300025</v>
      </c>
      <c r="R91" t="b">
        <f t="shared" si="10"/>
        <v>0</v>
      </c>
      <c r="S91" s="25"/>
      <c r="T91" s="26" t="str">
        <f t="shared" si="11"/>
        <v>NOT OK</v>
      </c>
      <c r="U91" s="26" t="s">
        <v>169</v>
      </c>
      <c r="V91" s="26" t="s">
        <v>169</v>
      </c>
      <c r="W91" s="26" t="s">
        <v>169</v>
      </c>
      <c r="X91" s="26"/>
      <c r="Y91" t="e">
        <v>#REF!</v>
      </c>
      <c r="Z91" t="e">
        <v>#REF!</v>
      </c>
    </row>
    <row r="92" spans="1:26" ht="13.5" thickBot="1">
      <c r="A92" s="13" t="s">
        <v>232</v>
      </c>
      <c r="B92" s="19" t="str">
        <f>_xll.BDP(A92&amp;" mtge ISIN",$B$4)</f>
        <v>NSLT 2008-1 A2</v>
      </c>
      <c r="C92" s="20">
        <f t="shared" ref="C92:C103" si="12">I92</f>
        <v>1000000</v>
      </c>
      <c r="D92" s="21">
        <v>0</v>
      </c>
      <c r="E92" s="21" t="s">
        <v>150</v>
      </c>
      <c r="F92" s="23"/>
      <c r="G92" s="24" t="b">
        <v>1</v>
      </c>
      <c r="H92" s="30">
        <v>1000000</v>
      </c>
      <c r="I92" s="31">
        <v>1000000</v>
      </c>
      <c r="J92" t="str">
        <f>_xll.BDP($A92&amp;" mtge","MTG WAL","ALLOW_DYNAMIC_CASHFLOW_CALCS ","Y","MTG PREPAY SPEED",D92,"MTG PREPAY TYP",$E92)</f>
        <v>#N/A N/A</v>
      </c>
      <c r="K92" s="2" t="str">
        <f>_xll.BDP($A92&amp;" mtge","MTG_NXT_PAY_DT_SET_DT ")</f>
        <v>8/25/2016</v>
      </c>
      <c r="L92" s="2" t="e">
        <f>MAX(#REF!)</f>
        <v>#REF!</v>
      </c>
      <c r="M92" t="str">
        <f>_xll.BDP(A92&amp;" mtge ISIN","Maturity")</f>
        <v>11/25/2015</v>
      </c>
      <c r="N92" t="e">
        <f t="shared" si="6"/>
        <v>#REF!</v>
      </c>
      <c r="O92" s="15" t="e">
        <f>#REF!+#REF!</f>
        <v>#REF!</v>
      </c>
      <c r="P92" s="22" t="e">
        <f t="shared" si="7"/>
        <v>#REF!</v>
      </c>
      <c r="Q92">
        <f>_xll.BDP(A92&amp;" mtge ISIN",$Q$4)</f>
        <v>0</v>
      </c>
      <c r="R92" t="b">
        <f t="shared" si="10"/>
        <v>0</v>
      </c>
      <c r="S92" s="25"/>
      <c r="T92" s="26" t="str">
        <f t="shared" si="11"/>
        <v>NOT OK</v>
      </c>
      <c r="U92" s="26"/>
      <c r="V92" s="26"/>
      <c r="W92" s="26"/>
      <c r="X92" s="26"/>
      <c r="Y92" s="16" t="s">
        <v>169</v>
      </c>
      <c r="Z92" s="16" t="s">
        <v>169</v>
      </c>
    </row>
    <row r="93" spans="1:26" ht="13.5" thickBot="1">
      <c r="A93" s="37" t="s">
        <v>233</v>
      </c>
      <c r="B93" s="19" t="str">
        <f>_xll.BDP(A93&amp;" mtge ISIN",$B$4)</f>
        <v>NSLT 2008-1 A3</v>
      </c>
      <c r="C93" s="20">
        <f t="shared" si="12"/>
        <v>1000000</v>
      </c>
      <c r="D93" s="21">
        <v>0</v>
      </c>
      <c r="E93" s="21" t="s">
        <v>150</v>
      </c>
      <c r="F93" s="23"/>
      <c r="G93" s="24" t="b">
        <v>1</v>
      </c>
      <c r="H93" s="30">
        <v>1000000</v>
      </c>
      <c r="I93" s="31">
        <v>1000000</v>
      </c>
      <c r="J93" t="str">
        <f>_xll.BDP($A93&amp;" mtge","MTG WAL","ALLOW_DYNAMIC_CASHFLOW_CALCS ","Y","MTG PREPAY SPEED",D93,"MTG PREPAY TYP",$E93)</f>
        <v>#N/A N/A</v>
      </c>
      <c r="K93" s="2" t="str">
        <f>_xll.BDP($A93&amp;" mtge","MTG_NXT_PAY_DT_SET_DT ")</f>
        <v>8/25/2016</v>
      </c>
      <c r="L93" s="2" t="e">
        <f>MAX(#REF!)</f>
        <v>#REF!</v>
      </c>
      <c r="M93" t="str">
        <f>_xll.BDP(A93&amp;" mtge ISIN","Maturity")</f>
        <v>5/25/2020</v>
      </c>
      <c r="N93" t="e">
        <f t="shared" si="6"/>
        <v>#REF!</v>
      </c>
      <c r="O93" s="15" t="e">
        <f>#REF!+#REF!</f>
        <v>#REF!</v>
      </c>
      <c r="P93" s="22" t="e">
        <f t="shared" si="7"/>
        <v>#REF!</v>
      </c>
      <c r="Q93">
        <f>_xll.BDP(A93&amp;" mtge ISIN",$Q$4)</f>
        <v>0</v>
      </c>
      <c r="R93" t="b">
        <f t="shared" si="10"/>
        <v>0</v>
      </c>
      <c r="S93" s="25"/>
      <c r="T93" s="26" t="str">
        <f t="shared" si="11"/>
        <v>NOT OK</v>
      </c>
      <c r="U93" s="26"/>
      <c r="V93" s="26"/>
      <c r="W93" s="26"/>
      <c r="X93" s="26"/>
      <c r="Y93" t="s">
        <v>169</v>
      </c>
      <c r="Z93" t="s">
        <v>169</v>
      </c>
    </row>
    <row r="94" spans="1:26" ht="13.5" thickBot="1">
      <c r="A94" s="13" t="s">
        <v>234</v>
      </c>
      <c r="B94" s="19" t="str">
        <f>_xll.BDP(A94&amp;" mtge ISIN",$B$4)</f>
        <v>NSLT 2008-4 A4</v>
      </c>
      <c r="C94" s="20">
        <f t="shared" si="12"/>
        <v>1000000</v>
      </c>
      <c r="D94" s="21">
        <v>0</v>
      </c>
      <c r="E94" s="21" t="s">
        <v>150</v>
      </c>
      <c r="F94" s="23"/>
      <c r="G94" s="24" t="b">
        <v>1</v>
      </c>
      <c r="H94" s="30">
        <v>1000000</v>
      </c>
      <c r="I94" s="31">
        <v>1000000</v>
      </c>
      <c r="J94" t="str">
        <f>_xll.BDP($A94&amp;" mtge","MTG WAL","ALLOW_DYNAMIC_CASHFLOW_CALCS ","Y","MTG PREPAY SPEED",D94,"MTG PREPAY TYP",$E94)</f>
        <v>#N/A N/A</v>
      </c>
      <c r="K94" s="2" t="str">
        <f>_xll.BDP($A94&amp;" mtge","MTG_NXT_PAY_DT_SET_DT ")</f>
        <v>7/25/2016</v>
      </c>
      <c r="L94" s="2" t="e">
        <f>MAX(#REF!)</f>
        <v>#REF!</v>
      </c>
      <c r="M94" t="str">
        <f>_xll.BDP(A94&amp;" mtge ISIN","Maturity")</f>
        <v>4/25/2024</v>
      </c>
      <c r="N94" t="e">
        <f t="shared" si="6"/>
        <v>#REF!</v>
      </c>
      <c r="O94" s="15" t="e">
        <f>#REF!+#REF!</f>
        <v>#REF!</v>
      </c>
      <c r="P94" s="22" t="e">
        <f t="shared" si="7"/>
        <v>#REF!</v>
      </c>
      <c r="Q94">
        <f>_xll.BDP(A94&amp;" mtge ISIN",$Q$4)</f>
        <v>1</v>
      </c>
      <c r="R94" t="b">
        <f t="shared" si="10"/>
        <v>0</v>
      </c>
      <c r="S94" s="25"/>
      <c r="T94" s="26" t="str">
        <f t="shared" si="11"/>
        <v>NOT OK</v>
      </c>
      <c r="U94" s="26"/>
      <c r="V94" s="26"/>
      <c r="W94" s="26"/>
      <c r="X94" t="s">
        <v>169</v>
      </c>
      <c r="Y94" t="s">
        <v>169</v>
      </c>
      <c r="Z94" t="s">
        <v>169</v>
      </c>
    </row>
    <row r="95" spans="1:26" ht="13.5" thickBot="1">
      <c r="A95" s="13" t="s">
        <v>235</v>
      </c>
      <c r="B95" s="19" t="str">
        <f>_xll.BDP(A95&amp;" mtge ISIN",$B$4)</f>
        <v>NSLT 2008-3 A4</v>
      </c>
      <c r="C95" s="20">
        <f t="shared" si="12"/>
        <v>1000000</v>
      </c>
      <c r="D95" s="21">
        <v>0</v>
      </c>
      <c r="E95" s="21" t="s">
        <v>150</v>
      </c>
      <c r="F95" s="23"/>
      <c r="G95" s="24" t="b">
        <v>1</v>
      </c>
      <c r="H95" s="30">
        <v>1000000</v>
      </c>
      <c r="I95" s="31">
        <v>1000000</v>
      </c>
      <c r="J95" t="str">
        <f>_xll.BDP($A95&amp;" mtge","MTG WAL","ALLOW_DYNAMIC_CASHFLOW_CALCS ","Y","MTG PREPAY SPEED",D95,"MTG PREPAY TYP",$E95)</f>
        <v>#N/A N/A</v>
      </c>
      <c r="K95" s="2" t="str">
        <f>_xll.BDP($A95&amp;" mtge","MTG_NXT_PAY_DT_SET_DT ")</f>
        <v>8/25/2016</v>
      </c>
      <c r="L95" s="2" t="e">
        <f>MAX(#REF!)</f>
        <v>#REF!</v>
      </c>
      <c r="M95" t="str">
        <f>_xll.BDP(A95&amp;" mtge ISIN","Maturity")</f>
        <v>11/25/2024</v>
      </c>
      <c r="N95" t="e">
        <f t="shared" si="6"/>
        <v>#REF!</v>
      </c>
      <c r="O95" s="15" t="e">
        <f>#REF!+#REF!</f>
        <v>#REF!</v>
      </c>
      <c r="P95" s="22" t="e">
        <f t="shared" si="7"/>
        <v>#REF!</v>
      </c>
      <c r="Q95">
        <f>_xll.BDP(A95&amp;" mtge ISIN",$Q$4)</f>
        <v>1</v>
      </c>
      <c r="R95" t="b">
        <f t="shared" si="10"/>
        <v>0</v>
      </c>
      <c r="S95" s="25"/>
      <c r="T95" s="26" t="str">
        <f t="shared" si="11"/>
        <v>NOT OK</v>
      </c>
      <c r="U95" s="26"/>
      <c r="V95" s="26"/>
      <c r="W95" s="26"/>
      <c r="X95" s="26"/>
      <c r="Y95" t="s">
        <v>169</v>
      </c>
      <c r="Z95" t="s">
        <v>169</v>
      </c>
    </row>
    <row r="96" spans="1:26" ht="13.5" thickBot="1">
      <c r="A96" s="39" t="s">
        <v>236</v>
      </c>
      <c r="B96" s="19" t="str">
        <f>_xll.BDP(A96&amp;" mtge ISIN",$B$4)</f>
        <v>NCSEA 2005-P A1</v>
      </c>
      <c r="C96" s="20">
        <f t="shared" si="12"/>
        <v>1000000</v>
      </c>
      <c r="D96" s="21" t="s">
        <v>30</v>
      </c>
      <c r="E96" s="21" t="s">
        <v>150</v>
      </c>
      <c r="F96" s="23" t="b">
        <v>1</v>
      </c>
      <c r="G96" s="24" t="b">
        <v>1</v>
      </c>
      <c r="H96" s="30">
        <v>45000000</v>
      </c>
      <c r="I96" s="31">
        <v>1000000</v>
      </c>
      <c r="J96" t="str">
        <f>_xll.BDP($A96&amp;" mtge","MTG WAL","ALLOW_DYNAMIC_CASHFLOW_CALCS ","Y","MTG PREPAY SPEED",D96,"MTG PREPAY TYP",$E96)</f>
        <v>#N/A N/A</v>
      </c>
      <c r="K96" s="2" t="str">
        <f>_xll.BDP($A96&amp;" mtge","MTG_NXT_PAY_DT_SET_DT ")</f>
        <v>9/1/2016</v>
      </c>
      <c r="L96" s="2" t="e">
        <f>MAX(#REF!)</f>
        <v>#REF!</v>
      </c>
      <c r="M96" t="str">
        <f>_xll.BDP(A96&amp;" mtge ISIN","Maturity")</f>
        <v>6/1/2020</v>
      </c>
      <c r="N96" t="e">
        <f t="shared" ref="N96:N122" si="13">(M96-L96)&gt;=0</f>
        <v>#REF!</v>
      </c>
      <c r="O96" s="15" t="e">
        <f>#REF!+#REF!</f>
        <v>#REF!</v>
      </c>
      <c r="P96" s="22" t="e">
        <f>O96/C96</f>
        <v>#REF!</v>
      </c>
      <c r="Q96">
        <f>_xll.BDP(A96&amp;" mtge ISIN",$Q$4)</f>
        <v>0</v>
      </c>
      <c r="R96" t="b">
        <f t="shared" si="10"/>
        <v>0</v>
      </c>
      <c r="S96" s="25"/>
      <c r="T96" s="26" t="str">
        <f t="shared" si="11"/>
        <v>NOT OK</v>
      </c>
      <c r="U96" s="26" t="s">
        <v>169</v>
      </c>
      <c r="V96" s="26" t="s">
        <v>169</v>
      </c>
      <c r="W96" s="26" t="s">
        <v>169</v>
      </c>
      <c r="X96" s="26"/>
      <c r="Y96" t="s">
        <v>169</v>
      </c>
      <c r="Z96" t="s">
        <v>169</v>
      </c>
    </row>
    <row r="97" spans="1:26" ht="13.5" thickBot="1">
      <c r="A97" s="13" t="s">
        <v>237</v>
      </c>
      <c r="B97" s="19" t="str">
        <f>_xll.BDP(A97&amp;" mtge ISIN",$B$4)</f>
        <v>NEF 2004-2 A1</v>
      </c>
      <c r="C97" s="20">
        <f t="shared" si="12"/>
        <v>1000000</v>
      </c>
      <c r="D97" s="21" t="s">
        <v>30</v>
      </c>
      <c r="E97" s="21" t="s">
        <v>150</v>
      </c>
      <c r="F97" s="23"/>
      <c r="G97" s="24" t="b">
        <v>1</v>
      </c>
      <c r="H97" s="30">
        <v>1000000</v>
      </c>
      <c r="I97" s="31">
        <v>1000000</v>
      </c>
      <c r="J97" t="str">
        <f>_xll.BDP($A97&amp;" mtge","MTG WAL","ALLOW_DYNAMIC_CASHFLOW_CALCS ","Y","MTG PREPAY SPEED",D97,"MTG PREPAY TYP",$E97)</f>
        <v>#N/A N/A</v>
      </c>
      <c r="K97" s="2" t="str">
        <f>_xll.BDP($A97&amp;" mtge","MTG_NXT_PAY_DT_SET_DT ")</f>
        <v>7/28/2016</v>
      </c>
      <c r="L97" s="2" t="e">
        <f>MAX(#REF!)</f>
        <v>#REF!</v>
      </c>
      <c r="M97" t="str">
        <f>_xll.BDP(A97&amp;" mtge ISIN","Maturity")</f>
        <v>4/28/2016</v>
      </c>
      <c r="N97" t="e">
        <f t="shared" si="13"/>
        <v>#REF!</v>
      </c>
      <c r="O97" s="15" t="e">
        <f>#REF!+#REF!</f>
        <v>#REF!</v>
      </c>
      <c r="P97" s="22" t="e">
        <f t="shared" ref="P97:P121" si="14">O97/C97</f>
        <v>#REF!</v>
      </c>
      <c r="Q97">
        <f>_xll.BDP(A97&amp;" mtge ISIN",$Q$4)</f>
        <v>0</v>
      </c>
      <c r="R97" t="b">
        <f t="shared" si="10"/>
        <v>0</v>
      </c>
      <c r="S97" s="25"/>
      <c r="T97" s="26" t="str">
        <f t="shared" si="11"/>
        <v>NOT OK</v>
      </c>
      <c r="U97" s="26"/>
      <c r="V97" s="26"/>
      <c r="W97" s="26"/>
      <c r="X97" s="26"/>
      <c r="Y97" s="16" t="s">
        <v>169</v>
      </c>
      <c r="Z97" s="16" t="s">
        <v>168</v>
      </c>
    </row>
    <row r="98" spans="1:26" ht="13.5" thickBot="1">
      <c r="A98" s="13" t="s">
        <v>238</v>
      </c>
      <c r="B98" s="19" t="str">
        <f>_xll.BDP(A98&amp;" mtge ISIN",$B$4)</f>
        <v>NEF 2004-2 A2</v>
      </c>
      <c r="C98" s="20">
        <f t="shared" si="12"/>
        <v>1000000</v>
      </c>
      <c r="D98" s="21" t="s">
        <v>30</v>
      </c>
      <c r="E98" s="21" t="s">
        <v>150</v>
      </c>
      <c r="F98" s="23"/>
      <c r="G98" s="24" t="b">
        <v>1</v>
      </c>
      <c r="H98" s="30">
        <v>1000000</v>
      </c>
      <c r="I98" s="31">
        <v>1000000</v>
      </c>
      <c r="J98" t="str">
        <f>_xll.BDP($A98&amp;" mtge","MTG WAL","ALLOW_DYNAMIC_CASHFLOW_CALCS ","Y","MTG PREPAY SPEED",D98,"MTG PREPAY TYP",$E98)</f>
        <v>#N/A N/A</v>
      </c>
      <c r="K98" s="2" t="str">
        <f>_xll.BDP($A98&amp;" mtge","MTG_NXT_PAY_DT_SET_DT ")</f>
        <v>7/28/2016</v>
      </c>
      <c r="L98" s="2" t="e">
        <f>MAX(#REF!)</f>
        <v>#REF!</v>
      </c>
      <c r="M98" t="str">
        <f>_xll.BDP(A98&amp;" mtge ISIN","Maturity")</f>
        <v>1/30/2017</v>
      </c>
      <c r="N98" t="e">
        <f t="shared" si="13"/>
        <v>#REF!</v>
      </c>
      <c r="O98" s="15" t="e">
        <f>#REF!+#REF!</f>
        <v>#REF!</v>
      </c>
      <c r="P98" s="22" t="e">
        <f t="shared" si="14"/>
        <v>#REF!</v>
      </c>
      <c r="Q98">
        <f>_xll.BDP(A98&amp;" mtge ISIN",$Q$4)</f>
        <v>0</v>
      </c>
      <c r="R98" t="b">
        <f t="shared" si="10"/>
        <v>0</v>
      </c>
      <c r="S98" s="25"/>
      <c r="T98" s="26" t="str">
        <f t="shared" si="11"/>
        <v>NOT OK</v>
      </c>
      <c r="U98" s="26"/>
      <c r="V98" s="26"/>
      <c r="W98" s="26"/>
      <c r="X98" s="26"/>
      <c r="Y98" t="s">
        <v>169</v>
      </c>
      <c r="Z98" t="s">
        <v>169</v>
      </c>
    </row>
    <row r="99" spans="1:26" ht="13.5" thickBot="1">
      <c r="A99" s="13" t="s">
        <v>239</v>
      </c>
      <c r="B99" s="19" t="str">
        <f>_xll.BDP(A99&amp;" mtge ISIN",$B$4)</f>
        <v>NEF 2004-2 A3</v>
      </c>
      <c r="C99" s="20">
        <f t="shared" si="12"/>
        <v>1000000</v>
      </c>
      <c r="D99" s="21" t="s">
        <v>30</v>
      </c>
      <c r="E99" s="21" t="s">
        <v>150</v>
      </c>
      <c r="F99" s="23"/>
      <c r="G99" s="24" t="b">
        <v>1</v>
      </c>
      <c r="H99" s="30">
        <v>1000000</v>
      </c>
      <c r="I99" s="31">
        <v>1000000</v>
      </c>
      <c r="J99">
        <f>_xll.BDP($A99&amp;" mtge","MTG WAL","ALLOW_DYNAMIC_CASHFLOW_CALCS ","Y","MTG PREPAY SPEED",D99,"MTG PREPAY TYP",$E99)</f>
        <v>0.52</v>
      </c>
      <c r="K99" s="2" t="str">
        <f>_xll.BDP($A99&amp;" mtge","MTG_NXT_PAY_DT_SET_DT ")</f>
        <v>7/28/2016</v>
      </c>
      <c r="L99" s="2" t="e">
        <f>MAX(#REF!)</f>
        <v>#REF!</v>
      </c>
      <c r="M99" t="str">
        <f>_xll.BDP(A99&amp;" mtge ISIN","Maturity")</f>
        <v>7/30/2018</v>
      </c>
      <c r="N99" t="e">
        <f t="shared" si="13"/>
        <v>#REF!</v>
      </c>
      <c r="O99" s="15" t="e">
        <f>#REF!+#REF!</f>
        <v>#REF!</v>
      </c>
      <c r="P99" s="22" t="e">
        <f t="shared" si="14"/>
        <v>#REF!</v>
      </c>
      <c r="Q99">
        <f>_xll.BDP(A99&amp;" mtge ISIN",$Q$4)</f>
        <v>0.47665000000000002</v>
      </c>
      <c r="R99" t="b">
        <f t="shared" si="10"/>
        <v>0</v>
      </c>
      <c r="S99" s="25"/>
      <c r="T99" s="26" t="str">
        <f t="shared" si="11"/>
        <v>NOT OK</v>
      </c>
      <c r="U99" s="26"/>
      <c r="V99" s="26"/>
      <c r="W99" s="26"/>
      <c r="X99" s="26"/>
      <c r="Y99" s="16" t="s">
        <v>169</v>
      </c>
      <c r="Z99" s="16" t="s">
        <v>169</v>
      </c>
    </row>
    <row r="100" spans="1:26" ht="13.5" thickBot="1">
      <c r="A100" s="13" t="s">
        <v>240</v>
      </c>
      <c r="B100" s="19" t="str">
        <f>_xll.BDP(A100&amp;" mtge ISIN",$B$4)</f>
        <v>NEF 2004-2 A4</v>
      </c>
      <c r="C100" s="20">
        <f t="shared" si="12"/>
        <v>1000000</v>
      </c>
      <c r="D100" s="21" t="s">
        <v>30</v>
      </c>
      <c r="E100" s="21" t="s">
        <v>150</v>
      </c>
      <c r="F100" s="23"/>
      <c r="G100" s="24" t="b">
        <v>1</v>
      </c>
      <c r="H100" s="30">
        <v>1000000</v>
      </c>
      <c r="I100" s="31">
        <v>1000000</v>
      </c>
      <c r="J100">
        <f>_xll.BDP($A100&amp;" mtge","MTG WAL","ALLOW_DYNAMIC_CASHFLOW_CALCS ","Y","MTG PREPAY SPEED",D100,"MTG PREPAY TYP",$E100)</f>
        <v>2.4299999999999997</v>
      </c>
      <c r="K100" s="2" t="str">
        <f>_xll.BDP($A100&amp;" mtge","MTG_NXT_PAY_DT_SET_DT ")</f>
        <v>7/28/2016</v>
      </c>
      <c r="L100" s="2" t="e">
        <f>MAX(#REF!)</f>
        <v>#REF!</v>
      </c>
      <c r="M100" t="str">
        <f>_xll.BDP(A100&amp;" mtge ISIN","Maturity")</f>
        <v>7/28/2021</v>
      </c>
      <c r="N100" t="e">
        <f t="shared" si="13"/>
        <v>#REF!</v>
      </c>
      <c r="O100" s="15" t="e">
        <f>#REF!+#REF!</f>
        <v>#REF!</v>
      </c>
      <c r="P100" s="22" t="e">
        <f t="shared" si="14"/>
        <v>#REF!</v>
      </c>
      <c r="Q100">
        <f>_xll.BDP(A100&amp;" mtge ISIN",$Q$4)</f>
        <v>1</v>
      </c>
      <c r="R100" t="b">
        <f t="shared" si="10"/>
        <v>0</v>
      </c>
      <c r="S100" s="25"/>
      <c r="T100" s="26" t="str">
        <f t="shared" si="11"/>
        <v>NOT OK</v>
      </c>
      <c r="U100" s="26"/>
      <c r="V100" s="26"/>
      <c r="W100" s="26"/>
      <c r="X100" s="26"/>
      <c r="Y100" t="s">
        <v>169</v>
      </c>
      <c r="Z100" t="s">
        <v>169</v>
      </c>
    </row>
    <row r="101" spans="1:26" ht="13.5" thickBot="1">
      <c r="A101" s="13" t="s">
        <v>241</v>
      </c>
      <c r="B101" s="19" t="str">
        <f>_xll.BDP(A101&amp;" mtge ISIN",$B$4)</f>
        <v>NEF 2005-1 A3</v>
      </c>
      <c r="C101" s="20">
        <f t="shared" si="12"/>
        <v>1000000</v>
      </c>
      <c r="D101" s="21" t="s">
        <v>18</v>
      </c>
      <c r="E101" s="21" t="s">
        <v>150</v>
      </c>
      <c r="F101" s="23"/>
      <c r="G101" s="24" t="b">
        <v>1</v>
      </c>
      <c r="H101" s="30">
        <v>1000000</v>
      </c>
      <c r="I101" s="31">
        <v>1000000</v>
      </c>
      <c r="J101">
        <f>_xll.BDP($A101&amp;" mtge","MTG WAL","ALLOW_DYNAMIC_CASHFLOW_CALCS ","Y","MTG PREPAY SPEED",D101,"MTG PREPAY TYP",$E101)</f>
        <v>4.1199999999999992</v>
      </c>
      <c r="K101" s="2" t="str">
        <f>_xll.BDP($A101&amp;" mtge","MTG_NXT_PAY_DT_SET_DT ")</f>
        <v>7/28/2016</v>
      </c>
      <c r="L101" s="2" t="e">
        <f>MAX(#REF!)</f>
        <v>#REF!</v>
      </c>
      <c r="M101" t="str">
        <f>_xll.BDP(A101&amp;" mtge ISIN","Maturity")</f>
        <v>10/30/2030</v>
      </c>
      <c r="N101" t="e">
        <f t="shared" si="13"/>
        <v>#REF!</v>
      </c>
      <c r="O101" s="15" t="e">
        <f>#REF!+#REF!</f>
        <v>#REF!</v>
      </c>
      <c r="P101" s="22" t="e">
        <f t="shared" si="14"/>
        <v>#REF!</v>
      </c>
      <c r="Q101">
        <f>_xll.BDP(A101&amp;" mtge ISIN",$Q$4)</f>
        <v>1</v>
      </c>
      <c r="R101" t="b">
        <f t="shared" si="10"/>
        <v>0</v>
      </c>
      <c r="S101" s="25"/>
      <c r="T101" s="26" t="str">
        <f t="shared" si="11"/>
        <v>NOT OK</v>
      </c>
      <c r="U101" s="26"/>
      <c r="V101" s="26"/>
      <c r="W101" s="26"/>
      <c r="X101" s="26"/>
      <c r="Y101" t="s">
        <v>169</v>
      </c>
      <c r="Z101" t="s">
        <v>169</v>
      </c>
    </row>
    <row r="102" spans="1:26" ht="13.5" thickBot="1">
      <c r="A102" s="13" t="s">
        <v>242</v>
      </c>
      <c r="B102" s="19" t="str">
        <f>_xll.BDP(A102&amp;" mtge ISIN",$B$4)</f>
        <v>NEF 2005-1 A4</v>
      </c>
      <c r="C102" s="20">
        <f t="shared" si="12"/>
        <v>1000000</v>
      </c>
      <c r="D102" s="21" t="s">
        <v>18</v>
      </c>
      <c r="E102" s="21" t="s">
        <v>150</v>
      </c>
      <c r="F102" s="23"/>
      <c r="G102" s="24" t="b">
        <v>1</v>
      </c>
      <c r="H102" s="30">
        <v>1000000</v>
      </c>
      <c r="I102" s="31">
        <v>1000000</v>
      </c>
      <c r="J102">
        <f>_xll.BDP($A102&amp;" mtge","MTG WAL","ALLOW_DYNAMIC_CASHFLOW_CALCS ","Y","MTG PREPAY SPEED",D102,"MTG PREPAY TYP",$E102)</f>
        <v>7.6</v>
      </c>
      <c r="K102" s="2" t="str">
        <f>_xll.BDP($A102&amp;" mtge","MTG_NXT_PAY_DT_SET_DT ")</f>
        <v>7/28/2016</v>
      </c>
      <c r="L102" s="2" t="e">
        <f>MAX(#REF!)</f>
        <v>#REF!</v>
      </c>
      <c r="M102" t="str">
        <f>_xll.BDP(A102&amp;" mtge ISIN","Maturity")</f>
        <v>4/28/2032</v>
      </c>
      <c r="N102" t="e">
        <f t="shared" si="13"/>
        <v>#REF!</v>
      </c>
      <c r="O102" s="15" t="e">
        <f>#REF!+#REF!</f>
        <v>#REF!</v>
      </c>
      <c r="P102" s="22" t="e">
        <f t="shared" si="14"/>
        <v>#REF!</v>
      </c>
      <c r="Q102">
        <f>_xll.BDP(A102&amp;" mtge ISIN",$Q$4)</f>
        <v>1</v>
      </c>
      <c r="R102" t="b">
        <f t="shared" si="10"/>
        <v>0</v>
      </c>
      <c r="S102" s="25"/>
      <c r="T102" s="26" t="str">
        <f t="shared" si="11"/>
        <v>NOT OK</v>
      </c>
      <c r="U102" s="26"/>
      <c r="V102" s="26"/>
      <c r="W102" s="26"/>
      <c r="X102" s="26"/>
      <c r="Y102" t="s">
        <v>169</v>
      </c>
      <c r="Z102" t="s">
        <v>169</v>
      </c>
    </row>
    <row r="103" spans="1:26" ht="13.5" thickBot="1">
      <c r="A103" s="13" t="s">
        <v>243</v>
      </c>
      <c r="B103" s="19" t="str">
        <f>_xll.BDP(A103&amp;" mtge ISIN",$B$4)</f>
        <v>NEF 2007-1 A3</v>
      </c>
      <c r="C103" s="20">
        <f t="shared" si="12"/>
        <v>1000000</v>
      </c>
      <c r="D103" s="21">
        <v>100</v>
      </c>
      <c r="E103" s="21" t="s">
        <v>152</v>
      </c>
      <c r="F103" s="23"/>
      <c r="G103" s="24" t="b">
        <v>1</v>
      </c>
      <c r="H103" s="30">
        <v>1000000</v>
      </c>
      <c r="I103" s="31">
        <v>1000000</v>
      </c>
      <c r="J103" t="str">
        <f>_xll.BDP($A103&amp;" mtge","MTG WAL","ALLOW_DYNAMIC_CASHFLOW_CALCS ","Y","MTG PREPAY SPEED",D103,"MTG PREPAY TYP",$E103)</f>
        <v>#N/A N/A</v>
      </c>
      <c r="K103" s="2" t="str">
        <f>_xll.BDP($A103&amp;" mtge","MTG_NXT_PAY_DT_SET_DT ")</f>
        <v>7/28/2016</v>
      </c>
      <c r="L103" s="2" t="e">
        <f>MAX(#REF!)</f>
        <v>#REF!</v>
      </c>
      <c r="M103" t="str">
        <f>_xll.BDP(A103&amp;" mtge ISIN","Maturity")</f>
        <v>1/29/2046</v>
      </c>
      <c r="N103" t="e">
        <f t="shared" si="13"/>
        <v>#REF!</v>
      </c>
      <c r="O103" s="15" t="e">
        <f>#REF!+#REF!</f>
        <v>#REF!</v>
      </c>
      <c r="P103" s="22" t="e">
        <f t="shared" si="14"/>
        <v>#REF!</v>
      </c>
      <c r="Q103">
        <f>_xll.BDP(A103&amp;" mtge ISIN",$Q$4)</f>
        <v>1</v>
      </c>
      <c r="R103" t="b">
        <f t="shared" si="10"/>
        <v>0</v>
      </c>
      <c r="S103" s="25"/>
      <c r="T103" s="26" t="str">
        <f t="shared" si="11"/>
        <v>NOT OK</v>
      </c>
      <c r="U103" s="26"/>
      <c r="V103" s="26"/>
      <c r="W103" s="26"/>
      <c r="X103" s="26"/>
      <c r="Y103" t="s">
        <v>169</v>
      </c>
      <c r="Z103" t="s">
        <v>169</v>
      </c>
    </row>
    <row r="104" spans="1:26" ht="13.5" thickBot="1">
      <c r="A104" s="13" t="s">
        <v>113</v>
      </c>
      <c r="B104" s="19" t="str">
        <f>_xll.BDP(A104&amp;" mtge ISIN",$B$4)</f>
        <v>PHEAA 2006-1 A2</v>
      </c>
      <c r="C104" s="20">
        <f>H104</f>
        <v>1000000</v>
      </c>
      <c r="D104" s="21" t="s">
        <v>18</v>
      </c>
      <c r="E104" s="21" t="s">
        <v>150</v>
      </c>
      <c r="F104" s="23" t="b">
        <v>1</v>
      </c>
      <c r="G104" s="24" t="b">
        <v>1</v>
      </c>
      <c r="H104" s="30">
        <v>1000000</v>
      </c>
      <c r="I104" s="31">
        <v>1000000</v>
      </c>
      <c r="J104" t="str">
        <f>_xll.BDP($A104&amp;" mtge","MTG WAL","ALLOW_DYNAMIC_CASHFLOW_CALCS ","Y","MTG PREPAY SPEED",D104,"MTG PREPAY TYP",$E104)</f>
        <v>#N/A N/A</v>
      </c>
      <c r="K104" s="2" t="str">
        <f>_xll.BDP($A104&amp;" mtge","MTG_NXT_PAY_DT_SET_DT ")</f>
        <v>7/25/2016</v>
      </c>
      <c r="L104" s="2" t="e">
        <f>MAX(#REF!)</f>
        <v>#REF!</v>
      </c>
      <c r="M104" t="str">
        <f>_xll.BDP(A104&amp;" mtge ISIN","Maturity")</f>
        <v>7/25/2024</v>
      </c>
      <c r="N104" t="e">
        <f t="shared" si="13"/>
        <v>#REF!</v>
      </c>
      <c r="O104" s="15" t="e">
        <f>#REF!+#REF!</f>
        <v>#REF!</v>
      </c>
      <c r="P104" s="22" t="e">
        <f t="shared" si="14"/>
        <v>#REF!</v>
      </c>
      <c r="Q104">
        <f>_xll.BDP(A104&amp;" mtge ISIN",$Q$4)</f>
        <v>0</v>
      </c>
      <c r="R104" t="b">
        <f t="shared" si="10"/>
        <v>0</v>
      </c>
      <c r="S104" s="25"/>
      <c r="T104" s="26" t="str">
        <f t="shared" si="11"/>
        <v>NOT OK</v>
      </c>
      <c r="U104" s="26" t="s">
        <v>169</v>
      </c>
      <c r="V104" s="26" t="s">
        <v>169</v>
      </c>
      <c r="W104" s="26" t="s">
        <v>169</v>
      </c>
      <c r="X104" s="26"/>
      <c r="Y104" s="16" t="s">
        <v>169</v>
      </c>
      <c r="Z104" s="16" t="s">
        <v>169</v>
      </c>
    </row>
    <row r="105" spans="1:26" ht="13.5" thickBot="1">
      <c r="A105" s="36" t="s">
        <v>244</v>
      </c>
      <c r="B105" s="19" t="str">
        <f>_xll.BDP(A105&amp;" mtge ISIN",$B$4)</f>
        <v>PHEAA 2006-1 A3</v>
      </c>
      <c r="C105" s="20">
        <f>H105</f>
        <v>1000000</v>
      </c>
      <c r="D105" s="21" t="s">
        <v>18</v>
      </c>
      <c r="E105" s="21" t="s">
        <v>150</v>
      </c>
      <c r="F105" s="23" t="b">
        <v>1</v>
      </c>
      <c r="G105" s="24"/>
      <c r="H105" s="30">
        <v>1000000</v>
      </c>
      <c r="I105" s="31">
        <v>1000000</v>
      </c>
      <c r="J105" t="str">
        <f>_xll.BDP($A105&amp;" mtge","MTG WAL","ALLOW_DYNAMIC_CASHFLOW_CALCS ","Y","MTG PREPAY SPEED",D105,"MTG PREPAY TYP",$E105)</f>
        <v>#N/A N/A</v>
      </c>
      <c r="K105" s="2" t="str">
        <f>_xll.BDP($A105&amp;" mtge","MTG_NXT_PAY_DT_SET_DT ")</f>
        <v>7/25/2016</v>
      </c>
      <c r="L105" s="2" t="e">
        <f>MAX(#REF!)</f>
        <v>#REF!</v>
      </c>
      <c r="M105" t="str">
        <f>_xll.BDP(A105&amp;" mtge ISIN","Maturity")</f>
        <v>10/25/2035</v>
      </c>
      <c r="N105" t="e">
        <f t="shared" si="13"/>
        <v>#REF!</v>
      </c>
      <c r="O105" s="15" t="e">
        <f>#REF!+#REF!</f>
        <v>#REF!</v>
      </c>
      <c r="P105" s="22" t="e">
        <f t="shared" si="14"/>
        <v>#REF!</v>
      </c>
      <c r="Q105">
        <f>_xll.BDP(A105&amp;" mtge ISIN",$Q$4)</f>
        <v>0.97996772099999996</v>
      </c>
      <c r="R105" t="b">
        <f t="shared" si="10"/>
        <v>0</v>
      </c>
      <c r="S105" s="25"/>
      <c r="T105" s="26" t="str">
        <f t="shared" si="11"/>
        <v>NOT OK</v>
      </c>
      <c r="U105" s="26" t="s">
        <v>169</v>
      </c>
      <c r="V105" s="26" t="s">
        <v>169</v>
      </c>
      <c r="W105" s="26" t="s">
        <v>169</v>
      </c>
      <c r="X105" s="26"/>
      <c r="Y105" t="e">
        <v>#REF!</v>
      </c>
      <c r="Z105" t="e">
        <v>#REF!</v>
      </c>
    </row>
    <row r="106" spans="1:26" ht="13.5" thickBot="1">
      <c r="A106" s="35" t="s">
        <v>245</v>
      </c>
      <c r="B106" s="19" t="str">
        <f>_xll.BDP(A106&amp;" mtge ISIN",$B$4)</f>
        <v>PHEAA 2005-2 A2</v>
      </c>
      <c r="C106" s="20">
        <f>I106</f>
        <v>1000000</v>
      </c>
      <c r="D106" s="21" t="s">
        <v>18</v>
      </c>
      <c r="E106" s="21" t="s">
        <v>150</v>
      </c>
      <c r="F106" s="23"/>
      <c r="G106" s="24" t="b">
        <v>1</v>
      </c>
      <c r="H106" s="30">
        <v>35000000</v>
      </c>
      <c r="I106" s="31">
        <v>1000000</v>
      </c>
      <c r="J106" t="str">
        <f>_xll.BDP($A106&amp;" mtge","MTG WAL","ALLOW_DYNAMIC_CASHFLOW_CALCS ","Y","MTG PREPAY SPEED",D106,"MTG PREPAY TYP",$E106)</f>
        <v>#N/A N/A</v>
      </c>
      <c r="K106" s="2" t="str">
        <f>_xll.BDP($A106&amp;" mtge","MTG_NXT_PAY_DT_SET_DT ")</f>
        <v>7/15/2016</v>
      </c>
      <c r="L106" s="2" t="e">
        <f>MAX(#REF!)</f>
        <v>#REF!</v>
      </c>
      <c r="M106" t="str">
        <f>_xll.BDP(A106&amp;" mtge ISIN","Maturity")</f>
        <v>3/16/2037</v>
      </c>
      <c r="N106" t="e">
        <f t="shared" si="13"/>
        <v>#REF!</v>
      </c>
      <c r="O106" s="15" t="e">
        <f>#REF!+#REF!</f>
        <v>#REF!</v>
      </c>
      <c r="P106" s="22" t="e">
        <f t="shared" si="14"/>
        <v>#REF!</v>
      </c>
      <c r="Q106">
        <f>_xll.BDP(A106&amp;" mtge ISIN",$Q$4)</f>
        <v>0.49328054370000002</v>
      </c>
      <c r="R106" t="b">
        <f t="shared" si="10"/>
        <v>0</v>
      </c>
      <c r="S106" s="25"/>
      <c r="T106" s="26" t="str">
        <f t="shared" si="11"/>
        <v>NOT OK</v>
      </c>
      <c r="U106" s="26"/>
      <c r="V106" s="26"/>
      <c r="W106" s="26"/>
      <c r="X106" s="56" t="s">
        <v>32</v>
      </c>
      <c r="Y106" s="16" t="s">
        <v>168</v>
      </c>
      <c r="Z106" s="16" t="s">
        <v>168</v>
      </c>
    </row>
    <row r="107" spans="1:26" ht="13.5" thickBot="1">
      <c r="A107" s="13" t="s">
        <v>114</v>
      </c>
      <c r="B107" s="19" t="str">
        <f>_xll.BDP(A107&amp;" mtge ISIN",$B$4)</f>
        <v>PHEAA 2006-2 A3</v>
      </c>
      <c r="C107" s="20">
        <f>H107</f>
        <v>1000000</v>
      </c>
      <c r="D107" s="21" t="s">
        <v>18</v>
      </c>
      <c r="E107" s="21" t="s">
        <v>150</v>
      </c>
      <c r="F107" s="23" t="b">
        <v>1</v>
      </c>
      <c r="G107" s="24" t="b">
        <v>1</v>
      </c>
      <c r="H107" s="30">
        <v>1000000</v>
      </c>
      <c r="I107" s="31">
        <v>1000000</v>
      </c>
      <c r="J107">
        <f>_xll.BDP($A107&amp;" mtge","MTG WAL","ALLOW_DYNAMIC_CASHFLOW_CALCS ","Y","MTG PREPAY SPEED",D107,"MTG PREPAY TYP",$E107)</f>
        <v>4.18</v>
      </c>
      <c r="K107" s="2" t="str">
        <f>_xll.BDP($A107&amp;" mtge","MTG_NXT_PAY_DT_SET_DT ")</f>
        <v>7/25/2016</v>
      </c>
      <c r="L107" s="2" t="e">
        <f>MAX(#REF!)</f>
        <v>#REF!</v>
      </c>
      <c r="M107" t="str">
        <f>_xll.BDP(A107&amp;" mtge ISIN","Maturity")</f>
        <v>10/25/2036</v>
      </c>
      <c r="N107" t="e">
        <f t="shared" si="13"/>
        <v>#REF!</v>
      </c>
      <c r="O107" s="15" t="e">
        <f>#REF!+#REF!</f>
        <v>#REF!</v>
      </c>
      <c r="P107" s="22" t="e">
        <f t="shared" si="14"/>
        <v>#REF!</v>
      </c>
      <c r="Q107">
        <f>_xll.BDP(A107&amp;" mtge ISIN",$Q$4)</f>
        <v>0.8708863</v>
      </c>
      <c r="R107" t="b">
        <f t="shared" si="10"/>
        <v>0</v>
      </c>
      <c r="S107" s="25"/>
      <c r="T107" s="26" t="str">
        <f t="shared" si="11"/>
        <v>NOT OK</v>
      </c>
      <c r="U107" s="26" t="s">
        <v>169</v>
      </c>
      <c r="V107" s="26" t="s">
        <v>169</v>
      </c>
      <c r="W107" s="26" t="s">
        <v>169</v>
      </c>
      <c r="X107" s="26"/>
      <c r="Y107" t="s">
        <v>169</v>
      </c>
      <c r="Z107" t="s">
        <v>169</v>
      </c>
    </row>
    <row r="108" spans="1:26" ht="13.5" thickBot="1">
      <c r="A108" s="13" t="s">
        <v>246</v>
      </c>
      <c r="B108" s="19" t="str">
        <f>_xll.BDP(A108&amp;" mtge ISIN",$B$4)</f>
        <v>SLCLT 2005-1 A4</v>
      </c>
      <c r="C108" s="20">
        <f t="shared" ref="C108:C117" si="15">I108</f>
        <v>1000000</v>
      </c>
      <c r="D108" s="21">
        <v>50</v>
      </c>
      <c r="E108" s="21" t="s">
        <v>152</v>
      </c>
      <c r="F108" s="23"/>
      <c r="G108" s="24" t="b">
        <v>1</v>
      </c>
      <c r="H108" s="30">
        <v>1000000</v>
      </c>
      <c r="I108" s="31">
        <v>1000000</v>
      </c>
      <c r="J108" t="str">
        <f>_xll.BDP($A108&amp;" mtge","MTG WAL","ALLOW_DYNAMIC_CASHFLOW_CALCS ","Y","MTG PREPAY SPEED",D108,"MTG PREPAY TYP",$E108)</f>
        <v>#N/A N/A</v>
      </c>
      <c r="K108" s="2" t="str">
        <f>_xll.BDP($A108&amp;" mtge","MTG_NXT_PAY_DT_SET_DT ")</f>
        <v>8/15/2016</v>
      </c>
      <c r="L108" s="2" t="e">
        <f>MAX(#REF!)</f>
        <v>#REF!</v>
      </c>
      <c r="M108" t="str">
        <f>_xll.BDP(A108&amp;" mtge ISIN","Maturity")</f>
        <v>2/15/2045</v>
      </c>
      <c r="N108" t="e">
        <f t="shared" si="13"/>
        <v>#REF!</v>
      </c>
      <c r="O108" s="15" t="e">
        <f>#REF!+#REF!</f>
        <v>#REF!</v>
      </c>
      <c r="P108" s="22" t="e">
        <f t="shared" si="14"/>
        <v>#REF!</v>
      </c>
      <c r="Q108">
        <f>_xll.BDP(A108&amp;" mtge ISIN",$Q$4)</f>
        <v>1</v>
      </c>
      <c r="R108" t="b">
        <f t="shared" si="10"/>
        <v>0</v>
      </c>
      <c r="S108" s="25"/>
      <c r="T108" s="26" t="str">
        <f t="shared" si="11"/>
        <v>NOT OK</v>
      </c>
      <c r="U108" s="26"/>
      <c r="V108" s="26"/>
      <c r="W108" s="26"/>
      <c r="X108" s="26"/>
      <c r="Y108" t="s">
        <v>169</v>
      </c>
      <c r="Z108" t="s">
        <v>169</v>
      </c>
    </row>
    <row r="109" spans="1:26" ht="13.5" thickBot="1">
      <c r="A109" s="13" t="s">
        <v>247</v>
      </c>
      <c r="B109" s="19" t="str">
        <f>_xll.BDP(A109&amp;" mtge ISIN",$B$4)</f>
        <v>SLCLT 2005-2 A4</v>
      </c>
      <c r="C109" s="20">
        <f t="shared" si="15"/>
        <v>1000000</v>
      </c>
      <c r="D109" s="21">
        <v>0</v>
      </c>
      <c r="E109" s="21" t="s">
        <v>150</v>
      </c>
      <c r="F109" s="23"/>
      <c r="G109" s="24" t="b">
        <v>1</v>
      </c>
      <c r="H109" s="30">
        <v>1000000</v>
      </c>
      <c r="I109" s="31">
        <v>1000000</v>
      </c>
      <c r="J109" t="str">
        <f>_xll.BDP($A109&amp;" mtge","MTG WAL","ALLOW_DYNAMIC_CASHFLOW_CALCS ","Y","MTG PREPAY SPEED",D109,"MTG PREPAY TYP",$E109)</f>
        <v>#N/A N/A</v>
      </c>
      <c r="K109" s="2" t="str">
        <f>_xll.BDP($A109&amp;" mtge","MTG_NXT_PAY_DT_SET_DT ")</f>
        <v>6/15/2016</v>
      </c>
      <c r="L109" s="2" t="e">
        <f>MAX(#REF!)</f>
        <v>#REF!</v>
      </c>
      <c r="M109" t="str">
        <f>_xll.BDP(A109&amp;" mtge ISIN","Maturity")</f>
        <v>12/15/2039</v>
      </c>
      <c r="N109" t="e">
        <f t="shared" si="13"/>
        <v>#REF!</v>
      </c>
      <c r="O109" s="15" t="e">
        <f>#REF!+#REF!</f>
        <v>#REF!</v>
      </c>
      <c r="P109" s="22" t="e">
        <f t="shared" si="14"/>
        <v>#REF!</v>
      </c>
      <c r="Q109">
        <f>_xll.BDP(A109&amp;" mtge ISIN",$Q$4)</f>
        <v>1</v>
      </c>
      <c r="R109" t="b">
        <f t="shared" si="10"/>
        <v>0</v>
      </c>
      <c r="S109" s="25"/>
      <c r="T109" s="26" t="str">
        <f t="shared" si="11"/>
        <v>NOT OK</v>
      </c>
      <c r="U109" s="26"/>
      <c r="V109" s="26"/>
      <c r="W109" s="26"/>
      <c r="X109" s="26"/>
      <c r="Y109" t="s">
        <v>169</v>
      </c>
      <c r="Z109" t="s">
        <v>169</v>
      </c>
    </row>
    <row r="110" spans="1:26" ht="13.5" thickBot="1">
      <c r="A110" s="13" t="s">
        <v>248</v>
      </c>
      <c r="B110" s="19" t="str">
        <f>_xll.BDP(A110&amp;" mtge ISIN",$B$4)</f>
        <v>SLCLT 2005-3 A3</v>
      </c>
      <c r="C110" s="20">
        <f t="shared" si="15"/>
        <v>1000000</v>
      </c>
      <c r="D110" s="21">
        <v>0</v>
      </c>
      <c r="E110" s="21" t="s">
        <v>150</v>
      </c>
      <c r="F110" s="23"/>
      <c r="G110" s="24" t="b">
        <v>1</v>
      </c>
      <c r="H110" s="30">
        <v>1000000</v>
      </c>
      <c r="I110" s="31">
        <v>1000000</v>
      </c>
      <c r="J110" t="str">
        <f>_xll.BDP($A110&amp;" mtge","MTG WAL","ALLOW_DYNAMIC_CASHFLOW_CALCS ","Y","MTG PREPAY SPEED",D110,"MTG PREPAY TYP",$E110)</f>
        <v>#N/A N/A</v>
      </c>
      <c r="K110" s="2" t="str">
        <f>_xll.BDP($A110&amp;" mtge","MTG_NXT_PAY_DT_SET_DT ")</f>
        <v>6/15/2016</v>
      </c>
      <c r="L110" s="2" t="e">
        <f>MAX(#REF!)</f>
        <v>#REF!</v>
      </c>
      <c r="M110" t="str">
        <f>_xll.BDP(A110&amp;" mtge ISIN","Maturity")</f>
        <v>6/15/2029</v>
      </c>
      <c r="N110" t="e">
        <f t="shared" si="13"/>
        <v>#REF!</v>
      </c>
      <c r="O110" s="15" t="e">
        <f>#REF!+#REF!</f>
        <v>#REF!</v>
      </c>
      <c r="P110" s="22" t="e">
        <f t="shared" si="14"/>
        <v>#REF!</v>
      </c>
      <c r="Q110">
        <f>_xll.BDP(A110&amp;" mtge ISIN",$Q$4)</f>
        <v>1</v>
      </c>
      <c r="R110" t="b">
        <f t="shared" si="10"/>
        <v>0</v>
      </c>
      <c r="S110" s="25"/>
      <c r="T110" s="26" t="str">
        <f t="shared" si="11"/>
        <v>NOT OK</v>
      </c>
      <c r="U110" s="26"/>
      <c r="V110" s="26"/>
      <c r="W110" s="26"/>
      <c r="X110" s="26"/>
      <c r="Y110" t="s">
        <v>169</v>
      </c>
      <c r="Z110" t="s">
        <v>169</v>
      </c>
    </row>
    <row r="111" spans="1:26" ht="13.5" thickBot="1">
      <c r="A111" s="13" t="s">
        <v>249</v>
      </c>
      <c r="B111" s="19" t="str">
        <f>_xll.BDP(A111&amp;" mtge ISIN",$B$4)</f>
        <v>SLCLT 2005-3 A4</v>
      </c>
      <c r="C111" s="20">
        <f t="shared" si="15"/>
        <v>1000000</v>
      </c>
      <c r="D111" s="21">
        <v>0</v>
      </c>
      <c r="E111" s="21" t="s">
        <v>150</v>
      </c>
      <c r="F111" s="23"/>
      <c r="G111" s="24" t="b">
        <v>1</v>
      </c>
      <c r="H111" s="30">
        <v>1000000</v>
      </c>
      <c r="I111" s="31">
        <v>1000000</v>
      </c>
      <c r="J111" t="str">
        <f>_xll.BDP($A111&amp;" mtge","MTG WAL","ALLOW_DYNAMIC_CASHFLOW_CALCS ","Y","MTG PREPAY SPEED",D111,"MTG PREPAY TYP",$E111)</f>
        <v>#N/A N/A</v>
      </c>
      <c r="K111" s="2" t="str">
        <f>_xll.BDP($A111&amp;" mtge","MTG_NXT_PAY_DT_SET_DT ")</f>
        <v>6/15/2016</v>
      </c>
      <c r="L111" s="2" t="e">
        <f>MAX(#REF!)</f>
        <v>#REF!</v>
      </c>
      <c r="M111" t="str">
        <f>_xll.BDP(A111&amp;" mtge ISIN","Maturity")</f>
        <v>12/15/2039</v>
      </c>
      <c r="N111" t="e">
        <f t="shared" si="13"/>
        <v>#REF!</v>
      </c>
      <c r="O111" s="15" t="e">
        <f>#REF!+#REF!</f>
        <v>#REF!</v>
      </c>
      <c r="P111" s="22" t="e">
        <f t="shared" si="14"/>
        <v>#REF!</v>
      </c>
      <c r="Q111">
        <f>_xll.BDP(A111&amp;" mtge ISIN",$Q$4)</f>
        <v>1</v>
      </c>
      <c r="R111" t="b">
        <f t="shared" si="10"/>
        <v>0</v>
      </c>
      <c r="S111" s="25"/>
      <c r="T111" s="26" t="str">
        <f t="shared" si="11"/>
        <v>NOT OK</v>
      </c>
      <c r="U111" s="26"/>
      <c r="V111" s="26"/>
      <c r="W111" s="26"/>
      <c r="X111" s="26"/>
      <c r="Y111" s="16" t="s">
        <v>169</v>
      </c>
      <c r="Z111" s="16" t="s">
        <v>169</v>
      </c>
    </row>
    <row r="112" spans="1:26" ht="13.5" thickBot="1">
      <c r="A112" s="12" t="s">
        <v>250</v>
      </c>
      <c r="B112" s="19" t="str">
        <f>_xll.BDP(A112&amp;" mtge ISIN",$B$4)</f>
        <v>SLCLT 2007-2 A2</v>
      </c>
      <c r="C112" s="20">
        <f t="shared" si="15"/>
        <v>1000000</v>
      </c>
      <c r="D112" s="21">
        <v>50</v>
      </c>
      <c r="E112" s="21" t="s">
        <v>152</v>
      </c>
      <c r="F112" s="23"/>
      <c r="G112" s="24" t="b">
        <v>1</v>
      </c>
      <c r="H112" s="30">
        <v>1000000</v>
      </c>
      <c r="I112" s="31">
        <v>1000000</v>
      </c>
      <c r="J112" t="str">
        <f>_xll.BDP($A112&amp;" mtge","MTG WAL","ALLOW_DYNAMIC_CASHFLOW_CALCS ","Y","MTG PREPAY SPEED",D112,"MTG PREPAY TYP",$E112)</f>
        <v>#N/A N/A</v>
      </c>
      <c r="K112" s="2" t="str">
        <f>_xll.BDP($A112&amp;" mtge","MTG_NXT_PAY_DT_SET_DT ")</f>
        <v>8/15/2016</v>
      </c>
      <c r="L112" s="2" t="e">
        <f>MAX(#REF!)</f>
        <v>#REF!</v>
      </c>
      <c r="M112" t="str">
        <f>_xll.BDP(A112&amp;" mtge ISIN","Maturity")</f>
        <v>5/15/2028</v>
      </c>
      <c r="N112" t="e">
        <f t="shared" si="13"/>
        <v>#REF!</v>
      </c>
      <c r="O112" s="15" t="e">
        <f>#REF!+#REF!</f>
        <v>#REF!</v>
      </c>
      <c r="P112" s="22" t="e">
        <f t="shared" si="14"/>
        <v>#REF!</v>
      </c>
      <c r="Q112">
        <f>_xll.BDP(A112&amp;" mtge ISIN",$Q$4)</f>
        <v>0.51042215840000005</v>
      </c>
      <c r="R112" t="b">
        <f t="shared" si="10"/>
        <v>0</v>
      </c>
      <c r="S112" s="25"/>
      <c r="T112" s="26" t="str">
        <f t="shared" si="11"/>
        <v>NOT OK</v>
      </c>
      <c r="U112" s="26"/>
      <c r="V112" s="26"/>
      <c r="W112" s="26"/>
      <c r="X112" s="26"/>
      <c r="Y112" t="s">
        <v>169</v>
      </c>
      <c r="Z112" t="s">
        <v>169</v>
      </c>
    </row>
    <row r="113" spans="1:26" ht="13.5" thickBot="1">
      <c r="A113" s="12" t="s">
        <v>251</v>
      </c>
      <c r="B113" s="19" t="str">
        <f>_xll.BDP(A113&amp;" mtge ISIN",$B$4)</f>
        <v>SLCLT 2007-2 A3</v>
      </c>
      <c r="C113" s="20">
        <f t="shared" si="15"/>
        <v>1000000</v>
      </c>
      <c r="D113" s="21">
        <v>50</v>
      </c>
      <c r="E113" s="21" t="s">
        <v>152</v>
      </c>
      <c r="F113" s="23"/>
      <c r="G113" s="24" t="b">
        <v>1</v>
      </c>
      <c r="H113" s="30">
        <v>1000000</v>
      </c>
      <c r="I113" s="31">
        <v>1000000</v>
      </c>
      <c r="J113" t="str">
        <f>_xll.BDP($A113&amp;" mtge","MTG WAL","ALLOW_DYNAMIC_CASHFLOW_CALCS ","Y","MTG PREPAY SPEED",D113,"MTG PREPAY TYP",$E113)</f>
        <v>#N/A N/A</v>
      </c>
      <c r="K113" s="2" t="str">
        <f>_xll.BDP($A113&amp;" mtge","MTG_NXT_PAY_DT_SET_DT ")</f>
        <v>8/15/2016</v>
      </c>
      <c r="L113" s="2" t="e">
        <f>MAX(#REF!)</f>
        <v>#REF!</v>
      </c>
      <c r="M113" t="str">
        <f>_xll.BDP(A113&amp;" mtge ISIN","Maturity")</f>
        <v>5/15/2040</v>
      </c>
      <c r="N113" t="e">
        <f t="shared" si="13"/>
        <v>#REF!</v>
      </c>
      <c r="O113" s="15" t="e">
        <f>#REF!+#REF!</f>
        <v>#REF!</v>
      </c>
      <c r="P113" s="22" t="e">
        <f t="shared" si="14"/>
        <v>#REF!</v>
      </c>
      <c r="Q113">
        <f>_xll.BDP(A113&amp;" mtge ISIN",$Q$4)</f>
        <v>1</v>
      </c>
      <c r="R113" t="b">
        <f t="shared" si="10"/>
        <v>0</v>
      </c>
      <c r="S113" s="25"/>
      <c r="T113" s="26" t="str">
        <f t="shared" si="11"/>
        <v>NOT OK</v>
      </c>
      <c r="U113" s="26"/>
      <c r="V113" s="26"/>
      <c r="W113" s="26"/>
      <c r="X113" s="26"/>
      <c r="Y113" s="16" t="s">
        <v>169</v>
      </c>
      <c r="Z113" s="16" t="s">
        <v>169</v>
      </c>
    </row>
    <row r="114" spans="1:26" ht="13.5" thickBot="1">
      <c r="A114" s="35" t="s">
        <v>252</v>
      </c>
      <c r="B114" s="19" t="str">
        <f>_xll.BDP(A114&amp;" mtge ISIN",$B$4)</f>
        <v>SLCLT 2004-1 A4</v>
      </c>
      <c r="C114" s="20">
        <f t="shared" si="15"/>
        <v>1000000</v>
      </c>
      <c r="D114" s="21">
        <v>0</v>
      </c>
      <c r="E114" s="21" t="s">
        <v>39</v>
      </c>
      <c r="F114" s="23"/>
      <c r="G114" s="24" t="b">
        <v>1</v>
      </c>
      <c r="H114" s="30">
        <v>40000000</v>
      </c>
      <c r="I114" s="31">
        <v>1000000</v>
      </c>
      <c r="J114" t="str">
        <f>_xll.BDP($A114&amp;" mtge","MTG WAL","ALLOW_DYNAMIC_CASHFLOW_CALCS ","Y","MTG PREPAY SPEED",D114,"MTG PREPAY TYP",$E114)</f>
        <v>#N/A N/A</v>
      </c>
      <c r="K114" s="2" t="str">
        <f>_xll.BDP($A114&amp;" mtge","MTG_NXT_PAY_DT_SET_DT ")</f>
        <v>8/15/2016</v>
      </c>
      <c r="L114" s="2" t="e">
        <f>MAX(#REF!)</f>
        <v>#REF!</v>
      </c>
      <c r="M114" t="str">
        <f>_xll.BDP(A114&amp;" mtge ISIN","Maturity")</f>
        <v>8/15/2019</v>
      </c>
      <c r="N114" t="e">
        <f t="shared" si="13"/>
        <v>#REF!</v>
      </c>
      <c r="O114" s="15" t="e">
        <f>#REF!+#REF!</f>
        <v>#REF!</v>
      </c>
      <c r="P114" s="22" t="e">
        <f t="shared" si="14"/>
        <v>#REF!</v>
      </c>
      <c r="Q114">
        <f>_xll.BDP(A114&amp;" mtge ISIN",$Q$4)</f>
        <v>0</v>
      </c>
      <c r="R114" t="b">
        <f t="shared" si="10"/>
        <v>0</v>
      </c>
      <c r="S114" s="25"/>
      <c r="T114" s="26" t="str">
        <f t="shared" si="11"/>
        <v>NOT OK</v>
      </c>
      <c r="U114" s="26"/>
      <c r="V114" s="26"/>
      <c r="W114" s="26"/>
      <c r="X114" s="26"/>
      <c r="Y114" t="s">
        <v>168</v>
      </c>
      <c r="Z114" t="s">
        <v>168</v>
      </c>
    </row>
    <row r="115" spans="1:26" ht="13.5" thickBot="1">
      <c r="A115" s="35" t="s">
        <v>253</v>
      </c>
      <c r="B115" s="19" t="str">
        <f>_xll.BDP(A115&amp;" mtge ISIN",$B$4)</f>
        <v>SLCLT 2004-1 A5</v>
      </c>
      <c r="C115" s="20">
        <f t="shared" si="15"/>
        <v>1000000</v>
      </c>
      <c r="D115" s="21">
        <v>0</v>
      </c>
      <c r="E115" s="21" t="s">
        <v>150</v>
      </c>
      <c r="F115" s="23"/>
      <c r="G115" s="24" t="b">
        <v>1</v>
      </c>
      <c r="H115" s="30">
        <v>25000000</v>
      </c>
      <c r="I115" s="31">
        <v>1000000</v>
      </c>
      <c r="J115" t="str">
        <f>_xll.BDP($A115&amp;" mtge","MTG WAL","ALLOW_DYNAMIC_CASHFLOW_CALCS ","Y","MTG PREPAY SPEED",D115,"MTG PREPAY TYP",$E115)</f>
        <v>#N/A N/A</v>
      </c>
      <c r="K115" s="2" t="str">
        <f>_xll.BDP($A115&amp;" mtge","MTG_NXT_PAY_DT_SET_DT ")</f>
        <v>8/15/2016</v>
      </c>
      <c r="L115" s="2" t="e">
        <f>MAX(#REF!)</f>
        <v>#REF!</v>
      </c>
      <c r="M115" t="str">
        <f>_xll.BDP(A115&amp;" mtge ISIN","Maturity")</f>
        <v>11/15/2021</v>
      </c>
      <c r="N115" t="e">
        <f t="shared" si="13"/>
        <v>#REF!</v>
      </c>
      <c r="O115" s="15" t="e">
        <f>#REF!+#REF!</f>
        <v>#REF!</v>
      </c>
      <c r="P115" s="22" t="e">
        <f t="shared" si="14"/>
        <v>#REF!</v>
      </c>
      <c r="Q115">
        <f>_xll.BDP(A115&amp;" mtge ISIN",$Q$4)</f>
        <v>0.19936477890000001</v>
      </c>
      <c r="R115" t="b">
        <f t="shared" si="10"/>
        <v>0</v>
      </c>
      <c r="S115" s="25"/>
      <c r="T115" s="26" t="str">
        <f t="shared" si="11"/>
        <v>NOT OK</v>
      </c>
      <c r="U115" s="26"/>
      <c r="V115" s="26"/>
      <c r="W115" s="26"/>
      <c r="X115" s="26"/>
      <c r="Y115" t="s">
        <v>169</v>
      </c>
      <c r="Z115" t="s">
        <v>169</v>
      </c>
    </row>
    <row r="116" spans="1:26" ht="13.5" thickBot="1">
      <c r="A116" s="35" t="s">
        <v>254</v>
      </c>
      <c r="B116" s="19" t="str">
        <f>_xll.BDP(A116&amp;" mtge ISIN",$B$4)</f>
        <v>SLCLT 2004-1 A6</v>
      </c>
      <c r="C116" s="20">
        <f t="shared" si="15"/>
        <v>1000000</v>
      </c>
      <c r="D116" s="21">
        <v>0</v>
      </c>
      <c r="E116" s="21" t="s">
        <v>150</v>
      </c>
      <c r="F116" s="23"/>
      <c r="G116" s="24" t="b">
        <v>1</v>
      </c>
      <c r="H116" s="30">
        <v>20000000</v>
      </c>
      <c r="I116" s="31">
        <v>1000000</v>
      </c>
      <c r="J116" t="str">
        <f>_xll.BDP($A116&amp;" mtge","MTG WAL","ALLOW_DYNAMIC_CASHFLOW_CALCS ","Y","MTG PREPAY SPEED",D116,"MTG PREPAY TYP",$E116)</f>
        <v>#N/A N/A</v>
      </c>
      <c r="K116" s="2" t="str">
        <f>_xll.BDP($A116&amp;" mtge","MTG_NXT_PAY_DT_SET_DT ")</f>
        <v>8/15/2016</v>
      </c>
      <c r="L116" s="2" t="e">
        <f>MAX(#REF!)</f>
        <v>#REF!</v>
      </c>
      <c r="M116" t="str">
        <f>_xll.BDP(A116&amp;" mtge ISIN","Maturity")</f>
        <v>5/15/2023</v>
      </c>
      <c r="N116" t="e">
        <f t="shared" si="13"/>
        <v>#REF!</v>
      </c>
      <c r="O116" s="15" t="e">
        <f>#REF!+#REF!</f>
        <v>#REF!</v>
      </c>
      <c r="P116" s="22" t="e">
        <f t="shared" si="14"/>
        <v>#REF!</v>
      </c>
      <c r="Q116">
        <f>_xll.BDP(A116&amp;" mtge ISIN",$Q$4)</f>
        <v>1</v>
      </c>
      <c r="R116" t="b">
        <f t="shared" si="10"/>
        <v>0</v>
      </c>
      <c r="S116" s="25"/>
      <c r="T116" s="26" t="str">
        <f t="shared" si="11"/>
        <v>NOT OK</v>
      </c>
      <c r="U116" s="26"/>
      <c r="V116" s="26"/>
      <c r="W116" s="26"/>
      <c r="X116" s="26"/>
      <c r="Y116" t="s">
        <v>169</v>
      </c>
      <c r="Z116" t="s">
        <v>169</v>
      </c>
    </row>
    <row r="117" spans="1:26" ht="13.5" thickBot="1">
      <c r="A117" s="35" t="s">
        <v>255</v>
      </c>
      <c r="B117" s="19" t="str">
        <f>_xll.BDP(A117&amp;" mtge ISIN",$B$4)</f>
        <v>SLCLT 2004-1 A7</v>
      </c>
      <c r="C117" s="20">
        <f t="shared" si="15"/>
        <v>1000000</v>
      </c>
      <c r="D117" s="21">
        <v>0</v>
      </c>
      <c r="E117" s="21" t="s">
        <v>150</v>
      </c>
      <c r="F117" s="23"/>
      <c r="G117" s="24" t="b">
        <v>1</v>
      </c>
      <c r="H117" s="30">
        <v>1000000</v>
      </c>
      <c r="I117" s="31">
        <v>1000000</v>
      </c>
      <c r="J117" t="str">
        <f>_xll.BDP($A117&amp;" mtge","MTG WAL","ALLOW_DYNAMIC_CASHFLOW_CALCS ","Y","MTG PREPAY SPEED",D117,"MTG PREPAY TYP",$E117)</f>
        <v>#N/A N/A</v>
      </c>
      <c r="K117" s="2" t="str">
        <f>_xll.BDP($A117&amp;" mtge","MTG_NXT_PAY_DT_SET_DT ")</f>
        <v>8/15/2016</v>
      </c>
      <c r="L117" s="2" t="e">
        <f>MAX(#REF!)</f>
        <v>#REF!</v>
      </c>
      <c r="M117" t="str">
        <f>_xll.BDP(A117&amp;" mtge ISIN","Maturity")</f>
        <v>11/15/2027</v>
      </c>
      <c r="N117" t="e">
        <f t="shared" si="13"/>
        <v>#REF!</v>
      </c>
      <c r="O117" s="15" t="e">
        <f>#REF!+#REF!</f>
        <v>#REF!</v>
      </c>
      <c r="P117" s="22" t="e">
        <f t="shared" si="14"/>
        <v>#REF!</v>
      </c>
      <c r="Q117">
        <f>_xll.BDP(A117&amp;" mtge ISIN",$Q$4)</f>
        <v>1</v>
      </c>
      <c r="R117" t="b">
        <f t="shared" si="10"/>
        <v>0</v>
      </c>
      <c r="S117" s="25"/>
      <c r="T117" s="26" t="str">
        <f t="shared" si="11"/>
        <v>NOT OK</v>
      </c>
      <c r="U117" s="26"/>
      <c r="V117" s="26"/>
      <c r="W117" s="26"/>
      <c r="X117" s="26"/>
      <c r="Y117" s="16" t="s">
        <v>169</v>
      </c>
      <c r="Z117" s="16" t="s">
        <v>169</v>
      </c>
    </row>
    <row r="118" spans="1:26" ht="13.5" thickBot="1">
      <c r="A118" s="40" t="s">
        <v>256</v>
      </c>
      <c r="B118" s="19" t="str">
        <f>_xll.BDP(A118&amp;" mtge ISIN",$B$4)</f>
        <v>SLCLT 2006-1 A5</v>
      </c>
      <c r="C118" s="20">
        <f>H118</f>
        <v>1000000</v>
      </c>
      <c r="D118" s="21">
        <v>50</v>
      </c>
      <c r="E118" s="21" t="s">
        <v>152</v>
      </c>
      <c r="F118" s="23" t="b">
        <v>1</v>
      </c>
      <c r="G118" s="24"/>
      <c r="H118" s="30">
        <v>1000000</v>
      </c>
      <c r="I118" s="31">
        <v>1000000</v>
      </c>
      <c r="J118" t="str">
        <f>_xll.BDP($A118&amp;" mtge","MTG WAL","ALLOW_DYNAMIC_CASHFLOW_CALCS ","Y","MTG PREPAY SPEED",D118,"MTG PREPAY TYP",$E118)</f>
        <v>#N/A N/A</v>
      </c>
      <c r="K118" s="2" t="str">
        <f>_xll.BDP($A118&amp;" mtge","MTG_NXT_PAY_DT_SET_DT ")</f>
        <v>6/15/2016</v>
      </c>
      <c r="L118" s="2" t="e">
        <f>MAX(#REF!)</f>
        <v>#REF!</v>
      </c>
      <c r="M118" t="str">
        <f>_xll.BDP(A118&amp;" mtge ISIN","Maturity")</f>
        <v>3/15/2027</v>
      </c>
      <c r="N118" t="e">
        <f t="shared" si="13"/>
        <v>#REF!</v>
      </c>
      <c r="O118" s="15" t="e">
        <f>#REF!+#REF!</f>
        <v>#REF!</v>
      </c>
      <c r="P118" s="22" t="e">
        <f t="shared" si="14"/>
        <v>#REF!</v>
      </c>
      <c r="Q118">
        <f>_xll.BDP(A118&amp;" mtge ISIN",$Q$4)</f>
        <v>1</v>
      </c>
      <c r="R118" t="b">
        <f t="shared" si="10"/>
        <v>0</v>
      </c>
      <c r="S118" s="25"/>
      <c r="T118" s="26" t="str">
        <f t="shared" si="11"/>
        <v>NOT OK</v>
      </c>
      <c r="U118" s="26" t="s">
        <v>169</v>
      </c>
      <c r="V118" s="26" t="s">
        <v>169</v>
      </c>
      <c r="W118" s="26" t="s">
        <v>169</v>
      </c>
      <c r="X118" s="26"/>
      <c r="Y118" t="e">
        <v>#REF!</v>
      </c>
      <c r="Z118" t="e">
        <v>#REF!</v>
      </c>
    </row>
    <row r="119" spans="1:26" ht="13.5" thickBot="1">
      <c r="A119" s="12" t="s">
        <v>257</v>
      </c>
      <c r="B119" s="19" t="str">
        <f>_xll.BDP(A119&amp;" mtge ISIN",$B$4)</f>
        <v>SLCLT 2006-1 A6</v>
      </c>
      <c r="C119" s="20">
        <f>I119</f>
        <v>1000000</v>
      </c>
      <c r="D119" s="21">
        <v>50</v>
      </c>
      <c r="E119" s="21" t="s">
        <v>152</v>
      </c>
      <c r="F119" s="23"/>
      <c r="G119" s="24" t="b">
        <v>1</v>
      </c>
      <c r="H119" s="30">
        <v>1000000</v>
      </c>
      <c r="I119" s="31">
        <v>1000000</v>
      </c>
      <c r="J119" t="str">
        <f>_xll.BDP($A119&amp;" mtge","MTG WAL","ALLOW_DYNAMIC_CASHFLOW_CALCS ","Y","MTG PREPAY SPEED",D119,"MTG PREPAY TYP",$E119)</f>
        <v>#N/A N/A</v>
      </c>
      <c r="K119" s="2" t="str">
        <f>_xll.BDP($A119&amp;" mtge","MTG_NXT_PAY_DT_SET_DT ")</f>
        <v>6/15/2016</v>
      </c>
      <c r="L119" s="2" t="e">
        <f>MAX(#REF!)</f>
        <v>#REF!</v>
      </c>
      <c r="M119" t="str">
        <f>_xll.BDP(A119&amp;" mtge ISIN","Maturity")</f>
        <v>12/15/2038</v>
      </c>
      <c r="N119" t="e">
        <f t="shared" si="13"/>
        <v>#REF!</v>
      </c>
      <c r="O119" s="15" t="e">
        <f>#REF!+#REF!</f>
        <v>#REF!</v>
      </c>
      <c r="P119" s="22" t="e">
        <f t="shared" si="14"/>
        <v>#REF!</v>
      </c>
      <c r="Q119">
        <f>_xll.BDP(A119&amp;" mtge ISIN",$Q$4)</f>
        <v>1</v>
      </c>
      <c r="R119" t="b">
        <f t="shared" si="10"/>
        <v>0</v>
      </c>
      <c r="S119" s="25"/>
      <c r="T119" s="26" t="str">
        <f t="shared" si="11"/>
        <v>NOT OK</v>
      </c>
      <c r="U119" s="26"/>
      <c r="V119" s="26"/>
      <c r="W119" s="26"/>
      <c r="X119" s="26"/>
      <c r="Y119" s="16" t="s">
        <v>169</v>
      </c>
      <c r="Z119" s="16" t="s">
        <v>169</v>
      </c>
    </row>
    <row r="120" spans="1:26" ht="13.5" thickBot="1">
      <c r="A120" s="13" t="s">
        <v>258</v>
      </c>
      <c r="B120" s="19" t="str">
        <f>_xll.BDP(A120&amp;" mtge ISIN",$B$4)</f>
        <v>SLCLT 2006-2 A4</v>
      </c>
      <c r="C120" s="20">
        <f>I120</f>
        <v>1000000</v>
      </c>
      <c r="D120" s="21">
        <v>50</v>
      </c>
      <c r="E120" s="21" t="s">
        <v>152</v>
      </c>
      <c r="F120" s="23"/>
      <c r="G120" s="24" t="b">
        <v>1</v>
      </c>
      <c r="H120" s="30">
        <v>1000000</v>
      </c>
      <c r="I120" s="31">
        <v>1000000</v>
      </c>
      <c r="J120" t="str">
        <f>_xll.BDP($A120&amp;" mtge","MTG WAL","ALLOW_DYNAMIC_CASHFLOW_CALCS ","Y","MTG PREPAY SPEED",D120,"MTG PREPAY TYP",$E120)</f>
        <v>#N/A N/A</v>
      </c>
      <c r="K120" s="2" t="str">
        <f>_xll.BDP($A120&amp;" mtge","MTG_NXT_PAY_DT_SET_DT ")</f>
        <v>6/15/2016</v>
      </c>
      <c r="L120" s="2" t="e">
        <f>MAX(#REF!)</f>
        <v>#REF!</v>
      </c>
      <c r="M120" t="str">
        <f>_xll.BDP(A120&amp;" mtge ISIN","Maturity")</f>
        <v>6/15/2022</v>
      </c>
      <c r="N120" t="e">
        <f t="shared" si="13"/>
        <v>#REF!</v>
      </c>
      <c r="O120" s="15" t="e">
        <f>#REF!+#REF!</f>
        <v>#REF!</v>
      </c>
      <c r="P120" s="22" t="e">
        <f t="shared" si="14"/>
        <v>#REF!</v>
      </c>
      <c r="Q120">
        <f>_xll.BDP(A120&amp;" mtge ISIN",$Q$4)</f>
        <v>8.8377880500000006E-2</v>
      </c>
      <c r="R120" t="b">
        <f t="shared" si="10"/>
        <v>0</v>
      </c>
      <c r="S120" s="25"/>
      <c r="T120" s="26" t="str">
        <f t="shared" si="11"/>
        <v>NOT OK</v>
      </c>
      <c r="U120" s="26"/>
      <c r="V120" s="26"/>
      <c r="W120" s="26"/>
      <c r="X120" s="26"/>
      <c r="Y120" t="s">
        <v>169</v>
      </c>
      <c r="Z120" t="s">
        <v>169</v>
      </c>
    </row>
    <row r="121" spans="1:26" ht="13.5" thickBot="1">
      <c r="A121" s="13" t="s">
        <v>259</v>
      </c>
      <c r="B121" s="19" t="str">
        <f>_xll.BDP(A121&amp;" mtge ISIN",$B$4)</f>
        <v>SLCLT 2006-2 A6</v>
      </c>
      <c r="C121" s="20">
        <f>H121</f>
        <v>1000000</v>
      </c>
      <c r="D121" s="21">
        <v>50</v>
      </c>
      <c r="E121" s="21" t="s">
        <v>152</v>
      </c>
      <c r="F121" s="23" t="b">
        <v>1</v>
      </c>
      <c r="G121" s="24" t="b">
        <v>1</v>
      </c>
      <c r="H121" s="30">
        <v>1000000</v>
      </c>
      <c r="I121" s="31">
        <v>1000000</v>
      </c>
      <c r="J121" t="str">
        <f>_xll.BDP($A121&amp;" mtge","MTG WAL","ALLOW_DYNAMIC_CASHFLOW_CALCS ","Y","MTG PREPAY SPEED",D121,"MTG PREPAY TYP",$E121)</f>
        <v>#N/A N/A</v>
      </c>
      <c r="K121" s="2" t="str">
        <f>_xll.BDP($A121&amp;" mtge","MTG_NXT_PAY_DT_SET_DT ")</f>
        <v>6/15/2016</v>
      </c>
      <c r="L121" s="2" t="e">
        <f>MAX(#REF!)</f>
        <v>#REF!</v>
      </c>
      <c r="M121" t="str">
        <f>_xll.BDP(A121&amp;" mtge ISIN","Maturity")</f>
        <v>9/15/2039</v>
      </c>
      <c r="N121" t="e">
        <f t="shared" si="13"/>
        <v>#REF!</v>
      </c>
      <c r="O121" s="15" t="e">
        <f>#REF!+#REF!</f>
        <v>#REF!</v>
      </c>
      <c r="P121" s="22" t="e">
        <f t="shared" si="14"/>
        <v>#REF!</v>
      </c>
      <c r="Q121">
        <f>_xll.BDP(A121&amp;" mtge ISIN",$Q$4)</f>
        <v>1</v>
      </c>
      <c r="R121" t="b">
        <f t="shared" si="10"/>
        <v>0</v>
      </c>
      <c r="S121" s="25"/>
      <c r="T121" s="26" t="str">
        <f t="shared" si="11"/>
        <v>NOT OK</v>
      </c>
      <c r="U121" s="26" t="s">
        <v>169</v>
      </c>
      <c r="V121" s="26" t="s">
        <v>169</v>
      </c>
      <c r="W121" s="26" t="s">
        <v>169</v>
      </c>
      <c r="X121" s="26"/>
      <c r="Y121" t="s">
        <v>169</v>
      </c>
      <c r="Z121" t="s">
        <v>169</v>
      </c>
    </row>
    <row r="122" spans="1:26" ht="13.5" thickBot="1">
      <c r="A122" s="12" t="s">
        <v>89</v>
      </c>
      <c r="B122" s="19" t="str">
        <f>_xll.BDP(A122&amp;" mtge ISIN",$B$4)</f>
        <v>SLMA 2003-1 A5B</v>
      </c>
      <c r="C122" s="20">
        <f t="shared" ref="C122:C132" si="16">I122</f>
        <v>1000000</v>
      </c>
      <c r="D122" s="21">
        <v>100</v>
      </c>
      <c r="E122" s="21" t="s">
        <v>152</v>
      </c>
      <c r="F122" s="23" t="b">
        <v>1</v>
      </c>
      <c r="G122" s="24" t="b">
        <v>1</v>
      </c>
      <c r="H122" s="30">
        <v>1000000</v>
      </c>
      <c r="I122" s="31">
        <v>1000000</v>
      </c>
      <c r="J122" t="str">
        <f>_xll.BDP($A122&amp;" mtge","MTG WAL","ALLOW_DYNAMIC_CASHFLOW_CALCS ","Y","MTG PREPAY SPEED",D122,"MTG PREPAY TYP",$E122)</f>
        <v>#N/A N/A</v>
      </c>
      <c r="K122" s="2" t="str">
        <f>_xll.BDP($A122&amp;" mtge","MTG_NXT_PAY_DT_SET_DT ")</f>
        <v>6/15/2016</v>
      </c>
      <c r="L122" s="2" t="e">
        <f>MAX(#REF!)</f>
        <v>#REF!</v>
      </c>
      <c r="M122" t="str">
        <f>_xll.BDP(A122&amp;" mtge ISIN","Maturity")</f>
        <v>12/15/2032</v>
      </c>
      <c r="N122" t="e">
        <f t="shared" si="13"/>
        <v>#REF!</v>
      </c>
      <c r="O122" s="15" t="e">
        <f>#REF!+#REF!</f>
        <v>#REF!</v>
      </c>
      <c r="P122" s="22" t="e">
        <f>O122/C122</f>
        <v>#REF!</v>
      </c>
      <c r="Q122">
        <f>_xll.BDP(A122&amp;" mtge ISIN",$Q$4)</f>
        <v>0.55667827697700012</v>
      </c>
      <c r="R122" t="b">
        <f t="shared" si="10"/>
        <v>0</v>
      </c>
      <c r="S122" s="25"/>
      <c r="T122" s="26" t="str">
        <f t="shared" si="11"/>
        <v>NOT OK</v>
      </c>
      <c r="U122" s="26" t="s">
        <v>169</v>
      </c>
      <c r="V122" s="56" t="s">
        <v>32</v>
      </c>
      <c r="W122" s="26" t="s">
        <v>169</v>
      </c>
      <c r="X122" s="26"/>
      <c r="Y122" t="s">
        <v>169</v>
      </c>
      <c r="Z122" t="s">
        <v>169</v>
      </c>
    </row>
    <row r="123" spans="1:26" ht="13.5" thickBot="1">
      <c r="A123" s="12" t="s">
        <v>260</v>
      </c>
      <c r="B123" s="19" t="str">
        <f>_xll.BDP(A123&amp;" mtge ISIN",$B$4)</f>
        <v>SLMA 2003-12 A5</v>
      </c>
      <c r="C123" s="20">
        <f t="shared" si="16"/>
        <v>1000000</v>
      </c>
      <c r="D123" s="21">
        <v>25</v>
      </c>
      <c r="E123" s="21" t="s">
        <v>152</v>
      </c>
      <c r="F123" s="23"/>
      <c r="G123" s="24" t="b">
        <v>1</v>
      </c>
      <c r="H123" s="30">
        <v>1000000</v>
      </c>
      <c r="I123" s="31">
        <v>1000000</v>
      </c>
      <c r="J123" t="str">
        <f>_xll.BDP($A123&amp;" mtge","MTG WAL","ALLOW_DYNAMIC_CASHFLOW_CALCS ","Y","MTG PREPAY SPEED",D123,"MTG PREPAY TYP",$E123)</f>
        <v>#N/A N/A</v>
      </c>
      <c r="K123" s="2" t="str">
        <f>_xll.BDP($A123&amp;" mtge","MTG_NXT_PAY_DT_SET_DT ")</f>
        <v>6/15/2016</v>
      </c>
      <c r="L123" s="2" t="e">
        <f>MAX(#REF!)</f>
        <v>#REF!</v>
      </c>
      <c r="M123" t="str">
        <f>_xll.BDP(A123&amp;" mtge ISIN","Maturity")</f>
        <v>9/15/2022</v>
      </c>
      <c r="N123" t="e">
        <f t="shared" ref="N123:N184" si="17">(M123-L123)&gt;=0</f>
        <v>#REF!</v>
      </c>
      <c r="O123" s="15" t="e">
        <f>#REF!+#REF!</f>
        <v>#REF!</v>
      </c>
      <c r="P123" s="22" t="e">
        <f t="shared" ref="P123:P184" si="18">O123/C123</f>
        <v>#REF!</v>
      </c>
      <c r="Q123">
        <f>_xll.BDP(A123&amp;" mtge ISIN",$Q$4)</f>
        <v>0.33793247589999997</v>
      </c>
      <c r="R123" t="b">
        <f t="shared" si="10"/>
        <v>0</v>
      </c>
      <c r="S123" s="25"/>
      <c r="T123" s="26" t="str">
        <f t="shared" si="11"/>
        <v>NOT OK</v>
      </c>
      <c r="U123" s="26"/>
      <c r="V123" s="26"/>
      <c r="W123" s="26"/>
      <c r="X123" s="26"/>
      <c r="Y123" t="s">
        <v>169</v>
      </c>
      <c r="Z123" t="s">
        <v>169</v>
      </c>
    </row>
    <row r="124" spans="1:26" ht="13.5" thickBot="1">
      <c r="A124" s="12" t="s">
        <v>261</v>
      </c>
      <c r="B124" s="19" t="str">
        <f>_xll.BDP(A124&amp;" mtge ISIN",$B$4)</f>
        <v>SLMA 2004-1 A4</v>
      </c>
      <c r="C124" s="20">
        <f t="shared" si="16"/>
        <v>1000000</v>
      </c>
      <c r="D124" s="21">
        <v>25</v>
      </c>
      <c r="E124" s="21" t="s">
        <v>152</v>
      </c>
      <c r="F124" s="23"/>
      <c r="G124" s="24" t="b">
        <v>1</v>
      </c>
      <c r="H124" s="30">
        <v>1000000</v>
      </c>
      <c r="I124" s="31">
        <v>1000000</v>
      </c>
      <c r="J124" t="str">
        <f>_xll.BDP($A124&amp;" mtge","MTG WAL","ALLOW_DYNAMIC_CASHFLOW_CALCS ","Y","MTG PREPAY SPEED",D124,"MTG PREPAY TYP",$E124)</f>
        <v>#N/A N/A</v>
      </c>
      <c r="K124" s="2" t="str">
        <f>_xll.BDP($A124&amp;" mtge","MTG_NXT_PAY_DT_SET_DT ")</f>
        <v>7/25/2016</v>
      </c>
      <c r="L124" s="2" t="e">
        <f>MAX(#REF!)</f>
        <v>#REF!</v>
      </c>
      <c r="M124" t="str">
        <f>_xll.BDP(A124&amp;" mtge ISIN","Maturity")</f>
        <v>10/27/2025</v>
      </c>
      <c r="N124" t="e">
        <f t="shared" si="17"/>
        <v>#REF!</v>
      </c>
      <c r="O124" s="15" t="e">
        <f>#REF!+#REF!</f>
        <v>#REF!</v>
      </c>
      <c r="P124" s="22" t="e">
        <f t="shared" si="18"/>
        <v>#REF!</v>
      </c>
      <c r="Q124">
        <f>_xll.BDP(A124&amp;" mtge ISIN",$Q$4)</f>
        <v>1</v>
      </c>
      <c r="R124" t="b">
        <f t="shared" si="10"/>
        <v>0</v>
      </c>
      <c r="S124" s="25"/>
      <c r="T124" s="26" t="str">
        <f t="shared" si="11"/>
        <v>NOT OK</v>
      </c>
      <c r="U124" s="26"/>
      <c r="V124" s="26"/>
      <c r="W124" s="26"/>
      <c r="X124" s="26"/>
      <c r="Y124" s="16" t="s">
        <v>169</v>
      </c>
      <c r="Z124" s="16" t="s">
        <v>169</v>
      </c>
    </row>
    <row r="125" spans="1:26" ht="13.5" thickBot="1">
      <c r="A125" s="12" t="s">
        <v>262</v>
      </c>
      <c r="B125" s="19" t="str">
        <f>_xll.BDP(A125&amp;" mtge ISIN",$B$4)</f>
        <v>SLMA 2004-9 A4</v>
      </c>
      <c r="C125" s="20">
        <f t="shared" si="16"/>
        <v>1000000</v>
      </c>
      <c r="D125" s="21" t="s">
        <v>25</v>
      </c>
      <c r="E125" s="21" t="s">
        <v>150</v>
      </c>
      <c r="F125" s="23"/>
      <c r="G125" s="24" t="b">
        <v>1</v>
      </c>
      <c r="H125" s="30">
        <v>100000000</v>
      </c>
      <c r="I125" s="31">
        <v>1000000</v>
      </c>
      <c r="J125" t="str">
        <f>_xll.BDP($A125&amp;" mtge","MTG WAL","ALLOW_DYNAMIC_CASHFLOW_CALCS ","Y","MTG PREPAY SPEED",D125,"MTG PREPAY TYP",$E125)</f>
        <v>#N/A N/A</v>
      </c>
      <c r="K125" s="2" t="str">
        <f>_xll.BDP($A125&amp;" mtge","MTG_NXT_PAY_DT_SET_DT ")</f>
        <v>7/25/2016</v>
      </c>
      <c r="L125" s="2" t="e">
        <f>MAX(#REF!)</f>
        <v>#REF!</v>
      </c>
      <c r="M125" t="str">
        <f>_xll.BDP(A125&amp;" mtge ISIN","Maturity")</f>
        <v>4/25/2017</v>
      </c>
      <c r="N125" t="e">
        <f t="shared" si="17"/>
        <v>#REF!</v>
      </c>
      <c r="O125" s="15" t="e">
        <f>#REF!+#REF!</f>
        <v>#REF!</v>
      </c>
      <c r="P125" s="22" t="e">
        <f t="shared" si="18"/>
        <v>#REF!</v>
      </c>
      <c r="Q125">
        <f>_xll.BDP(A125&amp;" mtge ISIN",$Q$4)</f>
        <v>0</v>
      </c>
      <c r="R125" t="b">
        <f t="shared" si="10"/>
        <v>0</v>
      </c>
      <c r="S125" s="25"/>
      <c r="T125" s="26" t="str">
        <f t="shared" si="11"/>
        <v>NOT OK</v>
      </c>
      <c r="U125" s="26"/>
      <c r="V125" s="26"/>
      <c r="W125" s="26"/>
      <c r="X125" t="s">
        <v>169</v>
      </c>
      <c r="Y125" t="s">
        <v>168</v>
      </c>
      <c r="Z125" t="s">
        <v>168</v>
      </c>
    </row>
    <row r="126" spans="1:26" ht="13.5" thickBot="1">
      <c r="A126" s="12" t="s">
        <v>263</v>
      </c>
      <c r="B126" s="19" t="str">
        <f>_xll.BDP(A126&amp;" mtge ISIN",$B$4)</f>
        <v>SLMA 2004-10 A3</v>
      </c>
      <c r="C126" s="20">
        <f t="shared" si="16"/>
        <v>1000000</v>
      </c>
      <c r="D126" s="21" t="s">
        <v>18</v>
      </c>
      <c r="E126" s="21" t="s">
        <v>150</v>
      </c>
      <c r="F126" s="23"/>
      <c r="G126" s="24" t="b">
        <v>1</v>
      </c>
      <c r="H126" s="30">
        <v>1000000</v>
      </c>
      <c r="I126" s="31">
        <v>1000000</v>
      </c>
      <c r="J126" t="str">
        <f>_xll.BDP($A126&amp;" mtge","MTG WAL","ALLOW_DYNAMIC_CASHFLOW_CALCS ","Y","MTG PREPAY SPEED",D126,"MTG PREPAY TYP",$E126)</f>
        <v>#N/A N/A</v>
      </c>
      <c r="K126" s="2" t="str">
        <f>_xll.BDP($A126&amp;" mtge","MTG_NXT_PAY_DT_SET_DT ")</f>
        <v>7/25/2016</v>
      </c>
      <c r="L126" s="2" t="e">
        <f>MAX(#REF!)</f>
        <v>#REF!</v>
      </c>
      <c r="M126" t="str">
        <f>_xll.BDP(A126&amp;" mtge ISIN","Maturity")</f>
        <v>10/25/2016</v>
      </c>
      <c r="N126" t="e">
        <f t="shared" si="17"/>
        <v>#REF!</v>
      </c>
      <c r="O126" s="15" t="e">
        <f>#REF!+#REF!</f>
        <v>#REF!</v>
      </c>
      <c r="P126" s="22" t="e">
        <f t="shared" si="18"/>
        <v>#REF!</v>
      </c>
      <c r="Q126">
        <f>_xll.BDP(A126&amp;" mtge ISIN",$Q$4)</f>
        <v>0</v>
      </c>
      <c r="R126" t="b">
        <f t="shared" si="10"/>
        <v>0</v>
      </c>
      <c r="S126" s="25"/>
      <c r="T126" s="26" t="str">
        <f t="shared" si="11"/>
        <v>NOT OK</v>
      </c>
      <c r="U126" s="26"/>
      <c r="V126" s="26"/>
      <c r="W126" s="26"/>
      <c r="X126" t="s">
        <v>169</v>
      </c>
      <c r="Y126" s="16" t="s">
        <v>169</v>
      </c>
      <c r="Z126" s="16" t="s">
        <v>168</v>
      </c>
    </row>
    <row r="127" spans="1:26" ht="13.5" thickBot="1">
      <c r="A127" s="12" t="s">
        <v>264</v>
      </c>
      <c r="B127" s="19" t="str">
        <f>_xll.BDP(A127&amp;" mtge ISIN",$B$4)</f>
        <v>SLMA 2005-1 A2</v>
      </c>
      <c r="C127" s="20">
        <f t="shared" si="16"/>
        <v>1000000</v>
      </c>
      <c r="D127" s="21" t="s">
        <v>25</v>
      </c>
      <c r="E127" s="21" t="s">
        <v>150</v>
      </c>
      <c r="F127" s="23"/>
      <c r="G127" s="24" t="b">
        <v>1</v>
      </c>
      <c r="H127" s="30">
        <v>1000000</v>
      </c>
      <c r="I127" s="31">
        <v>1000000</v>
      </c>
      <c r="J127" t="str">
        <f>_xll.BDP($A127&amp;" mtge","MTG WAL","ALLOW_DYNAMIC_CASHFLOW_CALCS ","Y","MTG PREPAY SPEED",D127,"MTG PREPAY TYP",$E127)</f>
        <v>#N/A N/A</v>
      </c>
      <c r="K127" s="2" t="str">
        <f>_xll.BDP($A127&amp;" mtge","MTG_NXT_PAY_DT_SET_DT ")</f>
        <v>7/25/2016</v>
      </c>
      <c r="L127" s="2" t="e">
        <f>MAX(#REF!)</f>
        <v>#REF!</v>
      </c>
      <c r="M127" t="str">
        <f>_xll.BDP(A127&amp;" mtge ISIN","Maturity")</f>
        <v>4/27/2020</v>
      </c>
      <c r="N127" t="e">
        <f t="shared" si="17"/>
        <v>#REF!</v>
      </c>
      <c r="O127" s="15" t="e">
        <f>#REF!+#REF!</f>
        <v>#REF!</v>
      </c>
      <c r="P127" s="22" t="e">
        <f t="shared" si="18"/>
        <v>#REF!</v>
      </c>
      <c r="Q127">
        <f>_xll.BDP(A127&amp;" mtge ISIN",$Q$4)</f>
        <v>0</v>
      </c>
      <c r="R127" t="b">
        <f t="shared" si="10"/>
        <v>0</v>
      </c>
      <c r="S127" s="25"/>
      <c r="T127" s="26" t="str">
        <f t="shared" si="11"/>
        <v>NOT OK</v>
      </c>
      <c r="U127" s="26"/>
      <c r="V127" s="26"/>
      <c r="W127" s="26"/>
      <c r="X127" t="s">
        <v>169</v>
      </c>
      <c r="Y127" t="s">
        <v>169</v>
      </c>
      <c r="Z127" t="s">
        <v>168</v>
      </c>
    </row>
    <row r="128" spans="1:26" ht="13.5" thickBot="1">
      <c r="A128" s="12" t="s">
        <v>265</v>
      </c>
      <c r="B128" s="19" t="str">
        <f>_xll.BDP(A128&amp;" mtge ISIN",$B$4)</f>
        <v>SLMA 2005-2 A4</v>
      </c>
      <c r="C128" s="20">
        <f t="shared" si="16"/>
        <v>1000000</v>
      </c>
      <c r="D128" s="21" t="s">
        <v>25</v>
      </c>
      <c r="E128" s="21" t="s">
        <v>150</v>
      </c>
      <c r="F128" s="23"/>
      <c r="G128" s="24" t="b">
        <v>1</v>
      </c>
      <c r="H128" s="30">
        <v>1000000</v>
      </c>
      <c r="I128" s="31">
        <v>1000000</v>
      </c>
      <c r="J128" t="str">
        <f>_xll.BDP($A128&amp;" mtge","MTG WAL","ALLOW_DYNAMIC_CASHFLOW_CALCS ","Y","MTG PREPAY SPEED",D128,"MTG PREPAY TYP",$E128)</f>
        <v>#N/A N/A</v>
      </c>
      <c r="K128" s="2" t="str">
        <f>_xll.BDP($A128&amp;" mtge","MTG_NXT_PAY_DT_SET_DT ")</f>
        <v>7/25/2016</v>
      </c>
      <c r="L128" s="2" t="e">
        <f>MAX(#REF!)</f>
        <v>#REF!</v>
      </c>
      <c r="M128" t="str">
        <f>_xll.BDP(A128&amp;" mtge ISIN","Maturity")</f>
        <v>4/25/2017</v>
      </c>
      <c r="N128" t="e">
        <f t="shared" si="17"/>
        <v>#REF!</v>
      </c>
      <c r="O128" s="15" t="e">
        <f>#REF!+#REF!</f>
        <v>#REF!</v>
      </c>
      <c r="P128" s="22" t="e">
        <f t="shared" si="18"/>
        <v>#REF!</v>
      </c>
      <c r="Q128">
        <f>_xll.BDP(A128&amp;" mtge ISIN",$Q$4)</f>
        <v>0</v>
      </c>
      <c r="R128" t="b">
        <f t="shared" si="10"/>
        <v>0</v>
      </c>
      <c r="S128" s="25"/>
      <c r="T128" s="26" t="str">
        <f t="shared" si="11"/>
        <v>NOT OK</v>
      </c>
      <c r="U128" s="26"/>
      <c r="V128" s="26"/>
      <c r="W128" s="26"/>
      <c r="X128" t="s">
        <v>169</v>
      </c>
      <c r="Y128" t="s">
        <v>169</v>
      </c>
      <c r="Z128" t="s">
        <v>168</v>
      </c>
    </row>
    <row r="129" spans="1:26" ht="13.5" thickBot="1">
      <c r="A129" s="12" t="s">
        <v>266</v>
      </c>
      <c r="B129" s="19" t="str">
        <f>_xll.BDP(A129&amp;" mtge ISIN",$B$4)</f>
        <v>SLMA 2005-2 A5</v>
      </c>
      <c r="C129" s="20">
        <f t="shared" si="16"/>
        <v>1000000</v>
      </c>
      <c r="D129" s="21" t="s">
        <v>25</v>
      </c>
      <c r="E129" s="21" t="s">
        <v>150</v>
      </c>
      <c r="F129" s="23"/>
      <c r="G129" s="24" t="b">
        <v>1</v>
      </c>
      <c r="H129" s="30">
        <v>1000000</v>
      </c>
      <c r="I129" s="31">
        <v>1000000</v>
      </c>
      <c r="J129" t="str">
        <f>_xll.BDP($A129&amp;" mtge","MTG WAL","ALLOW_DYNAMIC_CASHFLOW_CALCS ","Y","MTG PREPAY SPEED",D129,"MTG PREPAY TYP",$E129)</f>
        <v>#N/A N/A</v>
      </c>
      <c r="K129" s="2" t="str">
        <f>_xll.BDP($A129&amp;" mtge","MTG_NXT_PAY_DT_SET_DT ")</f>
        <v>7/25/2016</v>
      </c>
      <c r="L129" s="2" t="e">
        <f>MAX(#REF!)</f>
        <v>#REF!</v>
      </c>
      <c r="M129" t="str">
        <f>_xll.BDP(A129&amp;" mtge ISIN","Maturity")</f>
        <v>4/27/2020</v>
      </c>
      <c r="N129" t="e">
        <f t="shared" si="17"/>
        <v>#REF!</v>
      </c>
      <c r="O129" s="15" t="e">
        <f>#REF!+#REF!</f>
        <v>#REF!</v>
      </c>
      <c r="P129" s="22" t="e">
        <f t="shared" si="18"/>
        <v>#REF!</v>
      </c>
      <c r="Q129">
        <f>_xll.BDP(A129&amp;" mtge ISIN",$Q$4)</f>
        <v>0</v>
      </c>
      <c r="R129" t="b">
        <f t="shared" si="10"/>
        <v>0</v>
      </c>
      <c r="S129" s="25"/>
      <c r="T129" s="26" t="str">
        <f t="shared" si="11"/>
        <v>NOT OK</v>
      </c>
      <c r="U129" s="26"/>
      <c r="V129" s="26"/>
      <c r="W129" s="26"/>
      <c r="X129" s="26"/>
      <c r="Y129" t="s">
        <v>169</v>
      </c>
      <c r="Z129" t="s">
        <v>169</v>
      </c>
    </row>
    <row r="130" spans="1:26" ht="13.5" thickBot="1">
      <c r="A130" s="12" t="s">
        <v>267</v>
      </c>
      <c r="B130" s="19" t="str">
        <f>_xll.BDP(A130&amp;" mtge ISIN",$B$4)</f>
        <v>SLMA 2005-4 A3</v>
      </c>
      <c r="C130" s="20">
        <f t="shared" si="16"/>
        <v>1000000</v>
      </c>
      <c r="D130" s="21" t="s">
        <v>18</v>
      </c>
      <c r="E130" s="21" t="s">
        <v>150</v>
      </c>
      <c r="F130" s="23"/>
      <c r="G130" s="24" t="b">
        <v>1</v>
      </c>
      <c r="H130" s="30">
        <v>1000000</v>
      </c>
      <c r="I130" s="31">
        <v>1000000</v>
      </c>
      <c r="J130" t="str">
        <f>_xll.BDP($A130&amp;" mtge","MTG WAL","ALLOW_DYNAMIC_CASHFLOW_CALCS ","Y","MTG PREPAY SPEED",D130,"MTG PREPAY TYP",$E130)</f>
        <v>#N/A N/A</v>
      </c>
      <c r="K130" s="2" t="str">
        <f>_xll.BDP($A130&amp;" mtge","MTG_NXT_PAY_DT_SET_DT ")</f>
        <v>7/25/2016</v>
      </c>
      <c r="L130" s="2" t="e">
        <f>MAX(#REF!)</f>
        <v>#REF!</v>
      </c>
      <c r="M130" t="str">
        <f>_xll.BDP(A130&amp;" mtge ISIN","Maturity")</f>
        <v>1/25/2027</v>
      </c>
      <c r="N130" t="e">
        <f t="shared" si="17"/>
        <v>#REF!</v>
      </c>
      <c r="O130" s="15" t="e">
        <f>#REF!+#REF!</f>
        <v>#REF!</v>
      </c>
      <c r="P130" s="22" t="e">
        <f t="shared" si="18"/>
        <v>#REF!</v>
      </c>
      <c r="Q130">
        <f>_xll.BDP(A130&amp;" mtge ISIN",$Q$4)</f>
        <v>0.85771495389999997</v>
      </c>
      <c r="R130" t="b">
        <f t="shared" si="10"/>
        <v>0</v>
      </c>
      <c r="S130" s="25"/>
      <c r="T130" s="26" t="str">
        <f t="shared" si="11"/>
        <v>NOT OK</v>
      </c>
      <c r="U130" s="26"/>
      <c r="V130" s="26"/>
      <c r="W130" s="26"/>
      <c r="X130" s="26"/>
      <c r="Y130" t="s">
        <v>169</v>
      </c>
      <c r="Z130" t="s">
        <v>169</v>
      </c>
    </row>
    <row r="131" spans="1:26" ht="13.5" thickBot="1">
      <c r="A131" s="12" t="s">
        <v>268</v>
      </c>
      <c r="B131" s="19" t="str">
        <f>_xll.BDP(A131&amp;" mtge ISIN",$B$4)</f>
        <v>SLMA 2005-4 A4</v>
      </c>
      <c r="C131" s="20">
        <f t="shared" si="16"/>
        <v>1000000</v>
      </c>
      <c r="D131" s="21" t="s">
        <v>18</v>
      </c>
      <c r="E131" s="21" t="s">
        <v>150</v>
      </c>
      <c r="F131" s="23"/>
      <c r="G131" s="24" t="b">
        <v>1</v>
      </c>
      <c r="H131" s="30">
        <v>1000000</v>
      </c>
      <c r="I131" s="31">
        <v>1000000</v>
      </c>
      <c r="J131" t="str">
        <f>_xll.BDP($A131&amp;" mtge","MTG WAL","ALLOW_DYNAMIC_CASHFLOW_CALCS ","Y","MTG PREPAY SPEED",D131,"MTG PREPAY TYP",$E131)</f>
        <v>#N/A N/A</v>
      </c>
      <c r="K131" s="2" t="str">
        <f>_xll.BDP($A131&amp;" mtge","MTG_NXT_PAY_DT_SET_DT ")</f>
        <v>7/25/2016</v>
      </c>
      <c r="L131" s="2" t="e">
        <f>MAX(#REF!)</f>
        <v>#REF!</v>
      </c>
      <c r="M131" t="str">
        <f>_xll.BDP(A131&amp;" mtge ISIN","Maturity")</f>
        <v>7/25/2040</v>
      </c>
      <c r="N131" t="e">
        <f t="shared" si="17"/>
        <v>#REF!</v>
      </c>
      <c r="O131" s="15" t="e">
        <f>#REF!+#REF!</f>
        <v>#REF!</v>
      </c>
      <c r="P131" s="22" t="e">
        <f t="shared" si="18"/>
        <v>#REF!</v>
      </c>
      <c r="Q131">
        <f>_xll.BDP(A131&amp;" mtge ISIN",$Q$4)</f>
        <v>1</v>
      </c>
      <c r="R131" t="b">
        <f t="shared" si="10"/>
        <v>0</v>
      </c>
      <c r="S131" s="25"/>
      <c r="T131" s="26" t="str">
        <f t="shared" si="11"/>
        <v>NOT OK</v>
      </c>
      <c r="U131" s="26"/>
      <c r="V131" s="26"/>
      <c r="W131" s="26"/>
      <c r="X131" s="26"/>
      <c r="Y131" s="16" t="s">
        <v>169</v>
      </c>
      <c r="Z131" s="16" t="s">
        <v>169</v>
      </c>
    </row>
    <row r="132" spans="1:26" ht="13.5" thickBot="1">
      <c r="A132" s="13" t="s">
        <v>269</v>
      </c>
      <c r="B132" s="19" t="str">
        <f>_xll.BDP(A132&amp;" mtge ISIN",$B$4)</f>
        <v>SLMA 2005-6 A7</v>
      </c>
      <c r="C132" s="20">
        <f t="shared" si="16"/>
        <v>1000000</v>
      </c>
      <c r="D132" s="21">
        <v>25</v>
      </c>
      <c r="E132" s="21" t="s">
        <v>152</v>
      </c>
      <c r="F132" s="23"/>
      <c r="G132" s="24" t="b">
        <v>1</v>
      </c>
      <c r="H132" s="30">
        <v>1000000</v>
      </c>
      <c r="I132" s="31">
        <v>1000000</v>
      </c>
      <c r="J132" t="str">
        <f>_xll.BDP($A132&amp;" mtge","MTG WAL","ALLOW_DYNAMIC_CASHFLOW_CALCS ","Y","MTG PREPAY SPEED",D132,"MTG PREPAY TYP",$E132)</f>
        <v>#N/A N/A</v>
      </c>
      <c r="K132" s="2" t="str">
        <f>_xll.BDP($A132&amp;" mtge","MTG_NXT_PAY_DT_SET_DT ")</f>
        <v>7/25/2016</v>
      </c>
      <c r="L132" s="2" t="e">
        <f>MAX(#REF!)</f>
        <v>#REF!</v>
      </c>
      <c r="M132" t="str">
        <f>_xll.BDP(A132&amp;" mtge ISIN","Maturity")</f>
        <v>1/25/2044</v>
      </c>
      <c r="N132" t="e">
        <f t="shared" si="17"/>
        <v>#REF!</v>
      </c>
      <c r="O132" s="15" t="e">
        <f>#REF!+#REF!</f>
        <v>#REF!</v>
      </c>
      <c r="P132" s="22" t="e">
        <f t="shared" si="18"/>
        <v>#REF!</v>
      </c>
      <c r="Q132">
        <f>_xll.BDP(A132&amp;" mtge ISIN",$Q$4)</f>
        <v>1</v>
      </c>
      <c r="R132" t="b">
        <f t="shared" si="10"/>
        <v>0</v>
      </c>
      <c r="S132" s="25"/>
      <c r="T132" s="26" t="str">
        <f t="shared" si="11"/>
        <v>NOT OK</v>
      </c>
      <c r="U132" s="26"/>
      <c r="V132" s="26"/>
      <c r="W132" s="26"/>
      <c r="X132" s="26"/>
      <c r="Y132" t="s">
        <v>169</v>
      </c>
      <c r="Z132" t="s">
        <v>169</v>
      </c>
    </row>
    <row r="133" spans="1:26" ht="13.5" thickBot="1">
      <c r="A133" s="40" t="s">
        <v>270</v>
      </c>
      <c r="B133" s="19" t="str">
        <f>_xll.BDP(A133&amp;" mtge ISIN",$B$4)</f>
        <v>SLMA 2005-7 A2</v>
      </c>
      <c r="C133" s="20">
        <f>H133</f>
        <v>1000000</v>
      </c>
      <c r="D133" s="21">
        <v>25</v>
      </c>
      <c r="E133" s="21" t="s">
        <v>152</v>
      </c>
      <c r="F133" s="23" t="b">
        <v>1</v>
      </c>
      <c r="G133" s="24"/>
      <c r="H133" s="30">
        <v>1000000</v>
      </c>
      <c r="I133" s="31">
        <v>1000000</v>
      </c>
      <c r="J133" t="str">
        <f>_xll.BDP($A133&amp;" mtge","MTG WAL","ALLOW_DYNAMIC_CASHFLOW_CALCS ","Y","MTG PREPAY SPEED",D133,"MTG PREPAY TYP",$E133)</f>
        <v>#N/A N/A</v>
      </c>
      <c r="K133" s="2" t="str">
        <f>_xll.BDP($A133&amp;" mtge","MTG_NXT_PAY_DT_SET_DT ")</f>
        <v>7/25/2016</v>
      </c>
      <c r="L133" s="2" t="e">
        <f>MAX(#REF!)</f>
        <v>#REF!</v>
      </c>
      <c r="M133" t="str">
        <f>_xll.BDP(A133&amp;" mtge ISIN","Maturity")</f>
        <v>4/25/2022</v>
      </c>
      <c r="N133" t="e">
        <f t="shared" si="17"/>
        <v>#REF!</v>
      </c>
      <c r="O133" s="15" t="e">
        <f>#REF!+#REF!</f>
        <v>#REF!</v>
      </c>
      <c r="P133" s="22" t="e">
        <f t="shared" si="18"/>
        <v>#REF!</v>
      </c>
      <c r="Q133">
        <f>_xll.BDP(A133&amp;" mtge ISIN",$Q$4)</f>
        <v>0</v>
      </c>
      <c r="R133" t="b">
        <f t="shared" si="10"/>
        <v>0</v>
      </c>
      <c r="S133" s="25"/>
      <c r="T133" s="26" t="str">
        <f t="shared" si="11"/>
        <v>NOT OK</v>
      </c>
      <c r="U133" s="26" t="s">
        <v>169</v>
      </c>
      <c r="V133" s="26" t="s">
        <v>169</v>
      </c>
      <c r="W133" s="26" t="s">
        <v>169</v>
      </c>
      <c r="X133" s="26"/>
      <c r="Y133" s="16" t="e">
        <v>#REF!</v>
      </c>
      <c r="Z133" s="16" t="e">
        <v>#REF!</v>
      </c>
    </row>
    <row r="134" spans="1:26" ht="13.5" thickBot="1">
      <c r="A134" s="12" t="s">
        <v>271</v>
      </c>
      <c r="B134" s="19" t="str">
        <f>_xll.BDP(A134&amp;" mtge ISIN",$B$4)</f>
        <v>SLMA 2005-7 A4</v>
      </c>
      <c r="C134" s="20">
        <f>I134</f>
        <v>1000000</v>
      </c>
      <c r="D134" s="21">
        <v>25</v>
      </c>
      <c r="E134" s="21" t="s">
        <v>152</v>
      </c>
      <c r="F134" s="23"/>
      <c r="G134" s="24" t="b">
        <v>1</v>
      </c>
      <c r="H134" s="30">
        <v>1000000</v>
      </c>
      <c r="I134" s="31">
        <v>1000000</v>
      </c>
      <c r="J134" t="str">
        <f>_xll.BDP($A134&amp;" mtge","MTG WAL","ALLOW_DYNAMIC_CASHFLOW_CALCS ","Y","MTG PREPAY SPEED",D134,"MTG PREPAY TYP",$E134)</f>
        <v>#N/A N/A</v>
      </c>
      <c r="K134" s="2" t="str">
        <f>_xll.BDP($A134&amp;" mtge","MTG_NXT_PAY_DT_SET_DT ")</f>
        <v>7/25/2016</v>
      </c>
      <c r="L134" s="2" t="e">
        <f>MAX(#REF!)</f>
        <v>#REF!</v>
      </c>
      <c r="M134" t="str">
        <f>_xll.BDP(A134&amp;" mtge ISIN","Maturity")</f>
        <v>10/25/2029</v>
      </c>
      <c r="N134" t="e">
        <f t="shared" si="17"/>
        <v>#REF!</v>
      </c>
      <c r="O134" s="15" t="e">
        <f>#REF!+#REF!</f>
        <v>#REF!</v>
      </c>
      <c r="P134" s="22" t="e">
        <f t="shared" si="18"/>
        <v>#REF!</v>
      </c>
      <c r="Q134">
        <f>_xll.BDP(A134&amp;" mtge ISIN",$Q$4)</f>
        <v>1</v>
      </c>
      <c r="R134" t="b">
        <f t="shared" si="10"/>
        <v>0</v>
      </c>
      <c r="S134" s="25"/>
      <c r="T134" s="26" t="str">
        <f t="shared" si="11"/>
        <v>NOT OK</v>
      </c>
      <c r="U134" s="26"/>
      <c r="V134" s="26"/>
      <c r="W134" s="26"/>
      <c r="X134" s="26"/>
      <c r="Y134" t="s">
        <v>169</v>
      </c>
      <c r="Z134" t="s">
        <v>169</v>
      </c>
    </row>
    <row r="135" spans="1:26" ht="13.5" thickBot="1">
      <c r="A135" s="12" t="s">
        <v>272</v>
      </c>
      <c r="B135" s="19" t="str">
        <f>_xll.BDP(A135&amp;" mtge ISIN",$B$4)</f>
        <v>SLMA 2005-8 A5</v>
      </c>
      <c r="C135" s="20">
        <f>I135</f>
        <v>1000000</v>
      </c>
      <c r="D135" s="21" t="s">
        <v>18</v>
      </c>
      <c r="E135" s="21" t="s">
        <v>150</v>
      </c>
      <c r="F135" s="23"/>
      <c r="G135" s="24" t="b">
        <v>1</v>
      </c>
      <c r="H135" s="30">
        <v>1000000</v>
      </c>
      <c r="I135" s="31">
        <v>1000000</v>
      </c>
      <c r="J135" t="str">
        <f>_xll.BDP($A135&amp;" mtge","MTG WAL","ALLOW_DYNAMIC_CASHFLOW_CALCS ","Y","MTG PREPAY SPEED",D135,"MTG PREPAY TYP",$E135)</f>
        <v>#N/A N/A</v>
      </c>
      <c r="K135" s="2" t="str">
        <f>_xll.BDP($A135&amp;" mtge","MTG_NXT_PAY_DT_SET_DT ")</f>
        <v>7/25/2016</v>
      </c>
      <c r="L135" s="2" t="e">
        <f>MAX(#REF!)</f>
        <v>#REF!</v>
      </c>
      <c r="M135" t="str">
        <f>_xll.BDP(A135&amp;" mtge ISIN","Maturity")</f>
        <v>1/25/2040</v>
      </c>
      <c r="N135" t="e">
        <f t="shared" si="17"/>
        <v>#REF!</v>
      </c>
      <c r="O135" s="15" t="e">
        <f>#REF!+#REF!</f>
        <v>#REF!</v>
      </c>
      <c r="P135" s="22" t="e">
        <f t="shared" si="18"/>
        <v>#REF!</v>
      </c>
      <c r="Q135">
        <f>_xll.BDP(A135&amp;" mtge ISIN",$Q$4)</f>
        <v>1</v>
      </c>
      <c r="R135" t="b">
        <f t="shared" ref="R135:R185" si="19">IF(NOT(ISERROR(P135)),IF(P135&gt;0,ABS(P135-Q135)&lt;0.00001))</f>
        <v>0</v>
      </c>
      <c r="S135" s="25"/>
      <c r="T135" s="26" t="str">
        <f t="shared" ref="T135:T198" si="20">IF(R135,IF(N135,"OK", "NOT OK"),"NOT OK")</f>
        <v>NOT OK</v>
      </c>
      <c r="U135" s="26"/>
      <c r="V135" s="26"/>
      <c r="W135" s="26"/>
      <c r="X135" s="26"/>
      <c r="Y135" t="s">
        <v>169</v>
      </c>
      <c r="Z135" t="s">
        <v>169</v>
      </c>
    </row>
    <row r="136" spans="1:26" ht="13.5" thickBot="1">
      <c r="A136" s="12" t="s">
        <v>273</v>
      </c>
      <c r="B136" s="19" t="str">
        <f>_xll.BDP(A136&amp;" mtge ISIN",$B$4)</f>
        <v>SLMA 2005-9 A7B</v>
      </c>
      <c r="C136" s="20">
        <f>I136</f>
        <v>1000000</v>
      </c>
      <c r="D136" s="21" t="s">
        <v>18</v>
      </c>
      <c r="E136" s="21" t="s">
        <v>150</v>
      </c>
      <c r="F136" s="23"/>
      <c r="G136" s="24" t="b">
        <v>1</v>
      </c>
      <c r="H136" s="30">
        <v>1000000</v>
      </c>
      <c r="I136" s="31">
        <v>1000000</v>
      </c>
      <c r="J136">
        <f>_xll.BDP($A136&amp;" mtge","MTG WAL","ALLOW_DYNAMIC_CASHFLOW_CALCS ","Y","MTG PREPAY SPEED",D136,"MTG PREPAY TYP",$E136)</f>
        <v>10.68</v>
      </c>
      <c r="K136" s="2" t="str">
        <f>_xll.BDP($A136&amp;" mtge","MTG_NXT_PAY_DT_SET_DT ")</f>
        <v>7/25/2016</v>
      </c>
      <c r="L136" s="2" t="e">
        <f>MAX(#REF!)</f>
        <v>#REF!</v>
      </c>
      <c r="M136" t="str">
        <f>_xll.BDP(A136&amp;" mtge ISIN","Maturity")</f>
        <v>1/25/2041</v>
      </c>
      <c r="N136" t="e">
        <f t="shared" si="17"/>
        <v>#REF!</v>
      </c>
      <c r="O136" s="15" t="e">
        <f>#REF!+#REF!</f>
        <v>#REF!</v>
      </c>
      <c r="P136" s="22" t="e">
        <f t="shared" si="18"/>
        <v>#REF!</v>
      </c>
      <c r="Q136">
        <f>_xll.BDP(A136&amp;" mtge ISIN",$Q$4)</f>
        <v>1</v>
      </c>
      <c r="R136" t="b">
        <f t="shared" si="19"/>
        <v>0</v>
      </c>
      <c r="S136" s="25"/>
      <c r="T136" s="26" t="str">
        <f t="shared" si="20"/>
        <v>NOT OK</v>
      </c>
      <c r="U136" s="26"/>
      <c r="V136" s="26"/>
      <c r="W136" s="26"/>
      <c r="X136" s="26"/>
      <c r="Y136" t="s">
        <v>169</v>
      </c>
      <c r="Z136" t="s">
        <v>169</v>
      </c>
    </row>
    <row r="137" spans="1:26" ht="13.5" thickBot="1">
      <c r="A137" s="12" t="s">
        <v>115</v>
      </c>
      <c r="B137" s="19" t="str">
        <f>_xll.BDP(A137&amp;" mtge ISIN",$B$4)</f>
        <v>SLMA 2006-1 A4</v>
      </c>
      <c r="C137" s="20">
        <f>I137</f>
        <v>1000000</v>
      </c>
      <c r="D137" s="21" t="s">
        <v>25</v>
      </c>
      <c r="E137" s="21" t="s">
        <v>150</v>
      </c>
      <c r="F137" s="23"/>
      <c r="G137" s="24" t="b">
        <v>1</v>
      </c>
      <c r="H137" s="30">
        <v>1000000</v>
      </c>
      <c r="I137" s="31">
        <v>1000000</v>
      </c>
      <c r="J137" t="str">
        <f>_xll.BDP($A137&amp;" mtge","MTG WAL","ALLOW_DYNAMIC_CASHFLOW_CALCS ","Y","MTG PREPAY SPEED",D137,"MTG PREPAY TYP",$E137)</f>
        <v>#N/A N/A</v>
      </c>
      <c r="K137" s="2" t="str">
        <f>_xll.BDP($A137&amp;" mtge","MTG_NXT_PAY_DT_SET_DT ")</f>
        <v>7/25/2016</v>
      </c>
      <c r="L137" s="2" t="e">
        <f>MAX(#REF!)</f>
        <v>#REF!</v>
      </c>
      <c r="M137" t="str">
        <f>_xll.BDP(A137&amp;" mtge ISIN","Maturity")</f>
        <v>7/25/2019</v>
      </c>
      <c r="N137" t="e">
        <f t="shared" si="17"/>
        <v>#REF!</v>
      </c>
      <c r="O137" s="15" t="e">
        <f>#REF!+#REF!</f>
        <v>#REF!</v>
      </c>
      <c r="P137" s="22" t="e">
        <f t="shared" si="18"/>
        <v>#REF!</v>
      </c>
      <c r="Q137">
        <f>_xll.BDP(A137&amp;" mtge ISIN",$Q$4)</f>
        <v>0.15391780629999999</v>
      </c>
      <c r="R137" t="b">
        <f t="shared" si="19"/>
        <v>0</v>
      </c>
      <c r="S137" s="25"/>
      <c r="T137" s="26" t="str">
        <f t="shared" si="20"/>
        <v>NOT OK</v>
      </c>
      <c r="U137" s="26"/>
      <c r="V137" s="26"/>
      <c r="W137" s="26"/>
      <c r="X137" t="s">
        <v>169</v>
      </c>
      <c r="Y137" t="s">
        <v>169</v>
      </c>
      <c r="Z137" t="s">
        <v>169</v>
      </c>
    </row>
    <row r="138" spans="1:26" ht="13.5" thickBot="1">
      <c r="A138" s="6" t="s">
        <v>116</v>
      </c>
      <c r="B138" s="19" t="str">
        <f>_xll.BDP(A138&amp;" mtge ISIN",$B$4)</f>
        <v>SLMA 2006-1 B</v>
      </c>
      <c r="C138" s="20">
        <f>H138</f>
        <v>1000000</v>
      </c>
      <c r="D138" s="21" t="s">
        <v>18</v>
      </c>
      <c r="E138" s="21" t="s">
        <v>150</v>
      </c>
      <c r="F138" s="23" t="b">
        <v>1</v>
      </c>
      <c r="G138" s="24"/>
      <c r="H138" s="30">
        <v>1000000</v>
      </c>
      <c r="I138" s="31">
        <v>1000000</v>
      </c>
      <c r="J138" t="str">
        <f>_xll.BDP($A138&amp;" mtge","MTG WAL","ALLOW_DYNAMIC_CASHFLOW_CALCS ","Y","MTG PREPAY SPEED",D138,"MTG PREPAY TYP",$E138)</f>
        <v>#N/A N/A</v>
      </c>
      <c r="K138" s="2" t="str">
        <f>_xll.BDP($A138&amp;" mtge","MTG_NXT_PAY_DT_SET_DT ")</f>
        <v>7/25/2016</v>
      </c>
      <c r="L138" s="2" t="e">
        <f>MAX(#REF!)</f>
        <v>#REF!</v>
      </c>
      <c r="M138" t="str">
        <f>_xll.BDP(A138&amp;" mtge ISIN","Maturity")</f>
        <v>1/25/2027</v>
      </c>
      <c r="N138" t="e">
        <f t="shared" si="17"/>
        <v>#REF!</v>
      </c>
      <c r="O138" s="15" t="e">
        <f>#REF!+#REF!</f>
        <v>#REF!</v>
      </c>
      <c r="P138" s="22" t="e">
        <f t="shared" si="18"/>
        <v>#REF!</v>
      </c>
      <c r="Q138">
        <f>_xll.BDP(A138&amp;" mtge ISIN",$Q$4)</f>
        <v>1</v>
      </c>
      <c r="R138" t="b">
        <f t="shared" si="19"/>
        <v>0</v>
      </c>
      <c r="S138" s="25"/>
      <c r="T138" s="26" t="str">
        <f t="shared" si="20"/>
        <v>NOT OK</v>
      </c>
      <c r="U138" s="26" t="s">
        <v>169</v>
      </c>
      <c r="V138" s="26" t="s">
        <v>169</v>
      </c>
      <c r="W138" s="26" t="s">
        <v>169</v>
      </c>
      <c r="X138" s="26"/>
      <c r="Y138" s="16" t="e">
        <v>#REF!</v>
      </c>
      <c r="Z138" s="16" t="e">
        <v>#REF!</v>
      </c>
    </row>
    <row r="139" spans="1:26" ht="13.5" thickBot="1">
      <c r="A139" s="12" t="s">
        <v>117</v>
      </c>
      <c r="B139" s="19" t="str">
        <f>_xll.BDP(A139&amp;" mtge ISIN",$B$4)</f>
        <v>SLMA 2006-2 A6</v>
      </c>
      <c r="C139" s="20">
        <f>I139</f>
        <v>1000000</v>
      </c>
      <c r="D139" s="21">
        <v>25</v>
      </c>
      <c r="E139" s="21" t="s">
        <v>152</v>
      </c>
      <c r="F139" s="23"/>
      <c r="G139" s="24" t="b">
        <v>1</v>
      </c>
      <c r="H139" s="30">
        <v>1000000</v>
      </c>
      <c r="I139" s="31">
        <v>1000000</v>
      </c>
      <c r="J139" t="str">
        <f>_xll.BDP($A139&amp;" mtge","MTG WAL","ALLOW_DYNAMIC_CASHFLOW_CALCS ","Y","MTG PREPAY SPEED",D139,"MTG PREPAY TYP",$E139)</f>
        <v>#N/A N/A</v>
      </c>
      <c r="K139" s="2" t="str">
        <f>_xll.BDP($A139&amp;" mtge","MTG_NXT_PAY_DT_SET_DT ")</f>
        <v>7/25/2016</v>
      </c>
      <c r="L139" s="2" t="e">
        <f>MAX(#REF!)</f>
        <v>#REF!</v>
      </c>
      <c r="M139" t="str">
        <f>_xll.BDP(A139&amp;" mtge ISIN","Maturity")</f>
        <v>1/25/2041</v>
      </c>
      <c r="N139" t="e">
        <f t="shared" si="17"/>
        <v>#REF!</v>
      </c>
      <c r="O139" s="15" t="e">
        <f>#REF!+#REF!</f>
        <v>#REF!</v>
      </c>
      <c r="P139" s="22" t="e">
        <f t="shared" si="18"/>
        <v>#REF!</v>
      </c>
      <c r="Q139">
        <f>_xll.BDP(A139&amp;" mtge ISIN",$Q$4)</f>
        <v>1</v>
      </c>
      <c r="R139" t="b">
        <f t="shared" si="19"/>
        <v>0</v>
      </c>
      <c r="S139" s="25"/>
      <c r="T139" s="26" t="str">
        <f t="shared" si="20"/>
        <v>NOT OK</v>
      </c>
      <c r="U139" s="26"/>
      <c r="V139" s="26"/>
      <c r="W139" s="26"/>
      <c r="X139" s="26"/>
      <c r="Y139" t="s">
        <v>169</v>
      </c>
      <c r="Z139" t="s">
        <v>169</v>
      </c>
    </row>
    <row r="140" spans="1:26" ht="13.5" thickBot="1">
      <c r="A140" s="12" t="s">
        <v>118</v>
      </c>
      <c r="B140" s="19" t="str">
        <f>_xll.BDP(A140&amp;" mtge ISIN",$B$4)</f>
        <v>SLMA 2006-3 A5</v>
      </c>
      <c r="C140" s="20">
        <f>I140</f>
        <v>1000000</v>
      </c>
      <c r="D140" s="21" t="s">
        <v>25</v>
      </c>
      <c r="E140" s="21" t="s">
        <v>150</v>
      </c>
      <c r="F140" s="23"/>
      <c r="G140" s="24" t="b">
        <v>1</v>
      </c>
      <c r="H140" s="30">
        <v>1000000</v>
      </c>
      <c r="I140" s="31">
        <v>1000000</v>
      </c>
      <c r="J140" t="str">
        <f>_xll.BDP($A140&amp;" mtge","MTG WAL","ALLOW_DYNAMIC_CASHFLOW_CALCS ","Y","MTG PREPAY SPEED",D140,"MTG PREPAY TYP",$E140)</f>
        <v>#N/A N/A</v>
      </c>
      <c r="K140" s="2" t="str">
        <f>_xll.BDP($A140&amp;" mtge","MTG_NXT_PAY_DT_SET_DT ")</f>
        <v>7/25/2016</v>
      </c>
      <c r="L140" s="2" t="e">
        <f>MAX(#REF!)</f>
        <v>#REF!</v>
      </c>
      <c r="M140" t="str">
        <f>_xll.BDP(A140&amp;" mtge ISIN","Maturity")</f>
        <v>1/25/2021</v>
      </c>
      <c r="N140" t="e">
        <f t="shared" si="17"/>
        <v>#REF!</v>
      </c>
      <c r="O140" s="15" t="e">
        <f>#REF!+#REF!</f>
        <v>#REF!</v>
      </c>
      <c r="P140" s="22" t="e">
        <f t="shared" si="18"/>
        <v>#REF!</v>
      </c>
      <c r="Q140">
        <f>_xll.BDP(A140&amp;" mtge ISIN",$Q$4)</f>
        <v>1</v>
      </c>
      <c r="R140" t="b">
        <f t="shared" si="19"/>
        <v>0</v>
      </c>
      <c r="S140" s="25"/>
      <c r="T140" s="26" t="str">
        <f t="shared" si="20"/>
        <v>NOT OK</v>
      </c>
      <c r="U140" s="26"/>
      <c r="V140" s="26"/>
      <c r="W140" s="26"/>
      <c r="X140" t="s">
        <v>169</v>
      </c>
      <c r="Y140" s="16" t="s">
        <v>169</v>
      </c>
      <c r="Z140" s="16" t="s">
        <v>169</v>
      </c>
    </row>
    <row r="141" spans="1:26" ht="13.5" thickBot="1">
      <c r="A141" s="12" t="s">
        <v>119</v>
      </c>
      <c r="B141" s="19" t="str">
        <f>_xll.BDP(A141&amp;" mtge ISIN",$B$4)</f>
        <v>SLMA 2006-4 A4</v>
      </c>
      <c r="C141" s="20">
        <f>I141</f>
        <v>1000000</v>
      </c>
      <c r="D141" s="21" t="s">
        <v>18</v>
      </c>
      <c r="E141" s="21" t="s">
        <v>150</v>
      </c>
      <c r="F141" s="23"/>
      <c r="G141" s="24" t="b">
        <v>1</v>
      </c>
      <c r="H141" s="30">
        <v>1000000</v>
      </c>
      <c r="I141" s="31">
        <v>1000000</v>
      </c>
      <c r="J141" t="str">
        <f>_xll.BDP($A141&amp;" mtge","MTG WAL","ALLOW_DYNAMIC_CASHFLOW_CALCS ","Y","MTG PREPAY SPEED",D141,"MTG PREPAY TYP",$E141)</f>
        <v>#N/A N/A</v>
      </c>
      <c r="K141" s="2" t="str">
        <f>_xll.BDP($A141&amp;" mtge","MTG_NXT_PAY_DT_SET_DT ")</f>
        <v>7/25/2016</v>
      </c>
      <c r="L141" s="2" t="e">
        <f>MAX(#REF!)</f>
        <v>#REF!</v>
      </c>
      <c r="M141" t="str">
        <f>_xll.BDP(A141&amp;" mtge ISIN","Maturity")</f>
        <v>4/25/2023</v>
      </c>
      <c r="N141" t="e">
        <f t="shared" si="17"/>
        <v>#REF!</v>
      </c>
      <c r="O141" s="15" t="e">
        <f>#REF!+#REF!</f>
        <v>#REF!</v>
      </c>
      <c r="P141" s="22" t="e">
        <f t="shared" si="18"/>
        <v>#REF!</v>
      </c>
      <c r="Q141">
        <f>_xll.BDP(A141&amp;" mtge ISIN",$Q$4)</f>
        <v>0</v>
      </c>
      <c r="R141" t="b">
        <f t="shared" si="19"/>
        <v>0</v>
      </c>
      <c r="S141" s="25"/>
      <c r="T141" s="26" t="str">
        <f t="shared" si="20"/>
        <v>NOT OK</v>
      </c>
      <c r="U141" s="26"/>
      <c r="V141" s="26"/>
      <c r="W141" s="26"/>
      <c r="X141" s="26"/>
      <c r="Y141" t="s">
        <v>169</v>
      </c>
      <c r="Z141" t="s">
        <v>169</v>
      </c>
    </row>
    <row r="142" spans="1:26" ht="13.5" thickBot="1">
      <c r="A142" s="12" t="s">
        <v>120</v>
      </c>
      <c r="B142" s="19" t="str">
        <f>_xll.BDP(A142&amp;" mtge ISIN",$B$4)</f>
        <v>SLMA 2006-4 A5</v>
      </c>
      <c r="C142" s="20">
        <f>I142</f>
        <v>1000000</v>
      </c>
      <c r="D142" s="21" t="s">
        <v>18</v>
      </c>
      <c r="E142" s="21" t="s">
        <v>150</v>
      </c>
      <c r="F142" s="23"/>
      <c r="G142" s="24" t="b">
        <v>1</v>
      </c>
      <c r="H142" s="30">
        <v>1000000</v>
      </c>
      <c r="I142" s="31">
        <v>1000000</v>
      </c>
      <c r="J142" t="str">
        <f>_xll.BDP($A142&amp;" mtge","MTG WAL","ALLOW_DYNAMIC_CASHFLOW_CALCS ","Y","MTG PREPAY SPEED",D142,"MTG PREPAY TYP",$E142)</f>
        <v>#N/A N/A</v>
      </c>
      <c r="K142" s="2" t="str">
        <f>_xll.BDP($A142&amp;" mtge","MTG_NXT_PAY_DT_SET_DT ")</f>
        <v>7/25/2016</v>
      </c>
      <c r="L142" s="2" t="e">
        <f>MAX(#REF!)</f>
        <v>#REF!</v>
      </c>
      <c r="M142" t="str">
        <f>_xll.BDP(A142&amp;" mtge ISIN","Maturity")</f>
        <v>10/27/2025</v>
      </c>
      <c r="N142" t="e">
        <f t="shared" si="17"/>
        <v>#REF!</v>
      </c>
      <c r="O142" s="15" t="e">
        <f>#REF!+#REF!</f>
        <v>#REF!</v>
      </c>
      <c r="P142" s="22" t="e">
        <f t="shared" si="18"/>
        <v>#REF!</v>
      </c>
      <c r="Q142">
        <f>_xll.BDP(A142&amp;" mtge ISIN",$Q$4)</f>
        <v>0.34359898030000002</v>
      </c>
      <c r="R142" t="b">
        <f t="shared" si="19"/>
        <v>0</v>
      </c>
      <c r="S142" s="25"/>
      <c r="T142" s="26" t="str">
        <f t="shared" si="20"/>
        <v>NOT OK</v>
      </c>
      <c r="U142" s="26"/>
      <c r="V142" s="26"/>
      <c r="W142" s="26"/>
      <c r="X142" s="26"/>
      <c r="Y142" t="s">
        <v>169</v>
      </c>
      <c r="Z142" t="s">
        <v>169</v>
      </c>
    </row>
    <row r="143" spans="1:26" ht="13.5" thickBot="1">
      <c r="A143" s="8" t="s">
        <v>121</v>
      </c>
      <c r="B143" s="19" t="str">
        <f>_xll.BDP(A143&amp;" mtge ISIN",$B$4)</f>
        <v>SLMA 2006-4 B</v>
      </c>
      <c r="C143" s="20">
        <f>H143</f>
        <v>1000000</v>
      </c>
      <c r="D143" s="21" t="s">
        <v>18</v>
      </c>
      <c r="E143" s="21" t="s">
        <v>150</v>
      </c>
      <c r="F143" s="23" t="b">
        <v>1</v>
      </c>
      <c r="G143" s="24"/>
      <c r="H143" s="30">
        <v>1000000</v>
      </c>
      <c r="I143" s="31">
        <v>1000000</v>
      </c>
      <c r="J143" t="str">
        <f>_xll.BDP($A143&amp;" mtge","MTG WAL","ALLOW_DYNAMIC_CASHFLOW_CALCS ","Y","MTG PREPAY SPEED",D143,"MTG PREPAY TYP",$E143)</f>
        <v>#N/A N/A</v>
      </c>
      <c r="K143" s="2" t="str">
        <f>_xll.BDP($A143&amp;" mtge","MTG_NXT_PAY_DT_SET_DT ")</f>
        <v>7/25/2016</v>
      </c>
      <c r="L143" s="2" t="e">
        <f>MAX(#REF!)</f>
        <v>#REF!</v>
      </c>
      <c r="M143" t="str">
        <f>_xll.BDP(A143&amp;" mtge ISIN","Maturity")</f>
        <v>1/25/2041</v>
      </c>
      <c r="N143" t="e">
        <f t="shared" si="17"/>
        <v>#REF!</v>
      </c>
      <c r="O143" s="15" t="e">
        <f>#REF!+#REF!</f>
        <v>#REF!</v>
      </c>
      <c r="P143" s="22" t="e">
        <f t="shared" si="18"/>
        <v>#REF!</v>
      </c>
      <c r="Q143">
        <f>_xll.BDP(A143&amp;" mtge ISIN",$Q$4)</f>
        <v>0.71420355420000003</v>
      </c>
      <c r="R143" t="b">
        <f t="shared" si="19"/>
        <v>0</v>
      </c>
      <c r="S143" s="25"/>
      <c r="T143" s="26" t="str">
        <f t="shared" si="20"/>
        <v>NOT OK</v>
      </c>
      <c r="U143" s="26" t="s">
        <v>169</v>
      </c>
      <c r="V143" s="26" t="s">
        <v>169</v>
      </c>
      <c r="W143" s="26" t="s">
        <v>169</v>
      </c>
      <c r="X143" s="26"/>
      <c r="Y143" t="e">
        <v>#REF!</v>
      </c>
      <c r="Z143" t="e">
        <v>#REF!</v>
      </c>
    </row>
    <row r="144" spans="1:26" ht="13.5" thickBot="1">
      <c r="A144" s="41" t="s">
        <v>122</v>
      </c>
      <c r="B144" s="19" t="str">
        <f>_xll.BDP(A144&amp;" mtge ISIN",$B$4)</f>
        <v>SLMA 2006-10 A4</v>
      </c>
      <c r="C144" s="20">
        <f>I144</f>
        <v>1000000</v>
      </c>
      <c r="D144" s="21">
        <v>25</v>
      </c>
      <c r="E144" s="21" t="s">
        <v>152</v>
      </c>
      <c r="F144" s="23"/>
      <c r="G144" s="24" t="b">
        <v>1</v>
      </c>
      <c r="H144" s="30">
        <v>1000000</v>
      </c>
      <c r="I144" s="31">
        <v>1000000</v>
      </c>
      <c r="J144" t="str">
        <f>_xll.BDP($A144&amp;" mtge","MTG WAL","ALLOW_DYNAMIC_CASHFLOW_CALCS ","Y","MTG PREPAY SPEED",D144,"MTG PREPAY TYP",$E144)</f>
        <v>#N/A N/A</v>
      </c>
      <c r="K144" s="2" t="str">
        <f>_xll.BDP($A144&amp;" mtge","MTG_NXT_PAY_DT_SET_DT ")</f>
        <v>7/25/2016</v>
      </c>
      <c r="L144" s="2" t="e">
        <f>MAX(#REF!)</f>
        <v>#REF!</v>
      </c>
      <c r="M144" t="str">
        <f>_xll.BDP(A144&amp;" mtge ISIN","Maturity")</f>
        <v>7/25/2023</v>
      </c>
      <c r="N144" t="e">
        <f t="shared" si="17"/>
        <v>#REF!</v>
      </c>
      <c r="O144" s="15" t="e">
        <f>#REF!+#REF!</f>
        <v>#REF!</v>
      </c>
      <c r="P144" s="22" t="e">
        <f t="shared" si="18"/>
        <v>#REF!</v>
      </c>
      <c r="Q144">
        <f>_xll.BDP(A144&amp;" mtge ISIN",$Q$4)</f>
        <v>0</v>
      </c>
      <c r="R144" t="b">
        <f t="shared" si="19"/>
        <v>0</v>
      </c>
      <c r="S144" s="25"/>
      <c r="T144" s="26" t="str">
        <f t="shared" si="20"/>
        <v>NOT OK</v>
      </c>
      <c r="U144" s="26"/>
      <c r="V144" s="26"/>
      <c r="W144" s="26"/>
      <c r="X144" s="26"/>
      <c r="Y144" t="s">
        <v>169</v>
      </c>
      <c r="Z144" t="s">
        <v>169</v>
      </c>
    </row>
    <row r="145" spans="1:26" ht="13.5" thickBot="1">
      <c r="A145" s="42" t="s">
        <v>123</v>
      </c>
      <c r="B145" s="19" t="str">
        <f>_xll.BDP(A145&amp;" mtge ISIN",$B$4)</f>
        <v>SLMA 2006-10 A6</v>
      </c>
      <c r="C145" s="20">
        <f>H145</f>
        <v>1000000</v>
      </c>
      <c r="D145" s="21">
        <v>25</v>
      </c>
      <c r="E145" s="21" t="s">
        <v>152</v>
      </c>
      <c r="F145" s="23" t="b">
        <v>1</v>
      </c>
      <c r="G145" s="24" t="b">
        <v>1</v>
      </c>
      <c r="H145" s="30">
        <v>1000000</v>
      </c>
      <c r="I145" s="31">
        <v>1000000</v>
      </c>
      <c r="J145" t="str">
        <f>_xll.BDP($A145&amp;" mtge","MTG WAL","ALLOW_DYNAMIC_CASHFLOW_CALCS ","Y","MTG PREPAY SPEED",D145,"MTG PREPAY TYP",$E145)</f>
        <v>#N/A N/A</v>
      </c>
      <c r="K145" s="2" t="str">
        <f>_xll.BDP($A145&amp;" mtge","MTG_NXT_PAY_DT_SET_DT ")</f>
        <v>7/25/2016</v>
      </c>
      <c r="L145" s="2" t="e">
        <f>MAX(#REF!)</f>
        <v>#REF!</v>
      </c>
      <c r="M145" t="str">
        <f>_xll.BDP(A145&amp;" mtge ISIN","Maturity")</f>
        <v>3/25/2044</v>
      </c>
      <c r="N145" t="e">
        <f t="shared" si="17"/>
        <v>#REF!</v>
      </c>
      <c r="O145" s="15" t="e">
        <f>#REF!+#REF!</f>
        <v>#REF!</v>
      </c>
      <c r="P145" s="22" t="e">
        <f t="shared" si="18"/>
        <v>#REF!</v>
      </c>
      <c r="Q145">
        <f>_xll.BDP(A145&amp;" mtge ISIN",$Q$4)</f>
        <v>1</v>
      </c>
      <c r="R145" t="b">
        <f t="shared" si="19"/>
        <v>0</v>
      </c>
      <c r="S145" s="25"/>
      <c r="T145" s="26" t="str">
        <f t="shared" si="20"/>
        <v>NOT OK</v>
      </c>
      <c r="U145" s="26" t="s">
        <v>169</v>
      </c>
      <c r="V145" s="26" t="s">
        <v>169</v>
      </c>
      <c r="W145" s="26" t="s">
        <v>169</v>
      </c>
      <c r="X145" s="26"/>
      <c r="Y145" s="16" t="s">
        <v>169</v>
      </c>
      <c r="Z145" s="16" t="s">
        <v>169</v>
      </c>
    </row>
    <row r="146" spans="1:26" ht="13.5" thickBot="1">
      <c r="A146" s="41" t="s">
        <v>274</v>
      </c>
      <c r="B146" s="19" t="str">
        <f>_xll.BDP(A146&amp;" mtge ISIN",$B$4)</f>
        <v>SLMA 2007-5 A4</v>
      </c>
      <c r="C146" s="20">
        <f>I146</f>
        <v>1000000</v>
      </c>
      <c r="D146" s="21">
        <v>25</v>
      </c>
      <c r="E146" s="21" t="s">
        <v>152</v>
      </c>
      <c r="F146" s="23"/>
      <c r="G146" s="24" t="b">
        <v>1</v>
      </c>
      <c r="H146" s="30">
        <v>1000000</v>
      </c>
      <c r="I146" s="31">
        <v>1000000</v>
      </c>
      <c r="J146" t="str">
        <f>_xll.BDP($A146&amp;" mtge","MTG WAL","ALLOW_DYNAMIC_CASHFLOW_CALCS ","Y","MTG PREPAY SPEED",D146,"MTG PREPAY TYP",$E146)</f>
        <v>#N/A N/A</v>
      </c>
      <c r="K146" s="2" t="str">
        <f>_xll.BDP($A146&amp;" mtge","MTG_NXT_PAY_DT_SET_DT ")</f>
        <v>7/25/2016</v>
      </c>
      <c r="L146" s="2" t="e">
        <f>MAX(#REF!)</f>
        <v>#REF!</v>
      </c>
      <c r="M146" t="str">
        <f>_xll.BDP(A146&amp;" mtge ISIN","Maturity")</f>
        <v>4/26/2021</v>
      </c>
      <c r="N146" t="e">
        <f t="shared" si="17"/>
        <v>#REF!</v>
      </c>
      <c r="O146" s="15" t="e">
        <f>#REF!+#REF!</f>
        <v>#REF!</v>
      </c>
      <c r="P146" s="22" t="e">
        <f t="shared" si="18"/>
        <v>#REF!</v>
      </c>
      <c r="Q146">
        <f>_xll.BDP(A146&amp;" mtge ISIN",$Q$4)</f>
        <v>0</v>
      </c>
      <c r="R146" t="b">
        <f t="shared" si="19"/>
        <v>0</v>
      </c>
      <c r="S146" s="25"/>
      <c r="T146" s="26" t="str">
        <f t="shared" si="20"/>
        <v>NOT OK</v>
      </c>
      <c r="U146" s="26"/>
      <c r="V146" s="26"/>
      <c r="W146" s="26"/>
      <c r="X146" s="26"/>
      <c r="Y146" t="s">
        <v>169</v>
      </c>
      <c r="Z146" t="s">
        <v>169</v>
      </c>
    </row>
    <row r="147" spans="1:26" ht="13.5" thickBot="1">
      <c r="A147" s="41" t="s">
        <v>275</v>
      </c>
      <c r="B147" s="19" t="str">
        <f>_xll.BDP(A147&amp;" mtge ISIN",$B$4)</f>
        <v>SLMA 2007-5 A5</v>
      </c>
      <c r="C147" s="20">
        <f>H147</f>
        <v>1000000</v>
      </c>
      <c r="D147" s="21">
        <v>25</v>
      </c>
      <c r="E147" s="21" t="s">
        <v>152</v>
      </c>
      <c r="F147" s="23" t="b">
        <v>1</v>
      </c>
      <c r="G147" s="24" t="b">
        <v>1</v>
      </c>
      <c r="H147" s="30">
        <v>1000000</v>
      </c>
      <c r="I147" s="31">
        <v>1000000</v>
      </c>
      <c r="J147" t="str">
        <f>_xll.BDP($A147&amp;" mtge","MTG WAL","ALLOW_DYNAMIC_CASHFLOW_CALCS ","Y","MTG PREPAY SPEED",D147,"MTG PREPAY TYP",$E147)</f>
        <v>#N/A N/A</v>
      </c>
      <c r="K147" s="2" t="str">
        <f>_xll.BDP($A147&amp;" mtge","MTG_NXT_PAY_DT_SET_DT ")</f>
        <v>7/25/2016</v>
      </c>
      <c r="L147" s="2" t="e">
        <f>MAX(#REF!)</f>
        <v>#REF!</v>
      </c>
      <c r="M147" t="str">
        <f>_xll.BDP(A147&amp;" mtge ISIN","Maturity")</f>
        <v>1/25/2024</v>
      </c>
      <c r="N147" t="e">
        <f t="shared" si="17"/>
        <v>#REF!</v>
      </c>
      <c r="O147" s="15" t="e">
        <f>#REF!+#REF!</f>
        <v>#REF!</v>
      </c>
      <c r="P147" s="22" t="e">
        <f t="shared" si="18"/>
        <v>#REF!</v>
      </c>
      <c r="Q147">
        <f>_xll.BDP(A147&amp;" mtge ISIN",$Q$4)</f>
        <v>0.90453928298199993</v>
      </c>
      <c r="R147" t="b">
        <f t="shared" si="19"/>
        <v>0</v>
      </c>
      <c r="S147" s="25"/>
      <c r="T147" s="26" t="str">
        <f t="shared" si="20"/>
        <v>NOT OK</v>
      </c>
      <c r="U147" s="26" t="s">
        <v>169</v>
      </c>
      <c r="V147" s="26" t="s">
        <v>169</v>
      </c>
      <c r="W147" s="26" t="s">
        <v>169</v>
      </c>
      <c r="X147" s="26"/>
      <c r="Y147" s="16" t="s">
        <v>169</v>
      </c>
      <c r="Z147" s="16" t="s">
        <v>169</v>
      </c>
    </row>
    <row r="148" spans="1:26" ht="13.5" thickBot="1">
      <c r="A148" s="41" t="s">
        <v>276</v>
      </c>
      <c r="B148" s="19" t="str">
        <f>_xll.BDP(A148&amp;" mtge ISIN",$B$4)</f>
        <v>SLMA 2007-5 A6</v>
      </c>
      <c r="C148" s="20">
        <f>H148</f>
        <v>1000000</v>
      </c>
      <c r="D148" s="21">
        <v>25</v>
      </c>
      <c r="E148" s="21" t="s">
        <v>152</v>
      </c>
      <c r="F148" s="23" t="b">
        <v>1</v>
      </c>
      <c r="G148" s="24" t="b">
        <v>1</v>
      </c>
      <c r="H148" s="30">
        <v>1000000</v>
      </c>
      <c r="I148" s="31">
        <v>1000000</v>
      </c>
      <c r="J148" t="str">
        <f>_xll.BDP($A148&amp;" mtge","MTG WAL","ALLOW_DYNAMIC_CASHFLOW_CALCS ","Y","MTG PREPAY SPEED",D148,"MTG PREPAY TYP",$E148)</f>
        <v>#N/A N/A</v>
      </c>
      <c r="K148" s="2" t="str">
        <f>_xll.BDP($A148&amp;" mtge","MTG_NXT_PAY_DT_SET_DT ")</f>
        <v>7/25/2016</v>
      </c>
      <c r="L148" s="2" t="e">
        <f>MAX(#REF!)</f>
        <v>#REF!</v>
      </c>
      <c r="M148" t="str">
        <f>_xll.BDP(A148&amp;" mtge ISIN","Maturity")</f>
        <v>1/26/2043</v>
      </c>
      <c r="N148" t="e">
        <f t="shared" si="17"/>
        <v>#REF!</v>
      </c>
      <c r="O148" s="15" t="e">
        <f>#REF!+#REF!</f>
        <v>#REF!</v>
      </c>
      <c r="P148" s="22" t="e">
        <f t="shared" si="18"/>
        <v>#REF!</v>
      </c>
      <c r="Q148">
        <f>_xll.BDP(A148&amp;" mtge ISIN",$Q$4)</f>
        <v>1</v>
      </c>
      <c r="R148" t="b">
        <f t="shared" si="19"/>
        <v>0</v>
      </c>
      <c r="S148" s="25"/>
      <c r="T148" s="26" t="str">
        <f t="shared" si="20"/>
        <v>NOT OK</v>
      </c>
      <c r="U148" s="26" t="s">
        <v>169</v>
      </c>
      <c r="V148" s="26" t="s">
        <v>169</v>
      </c>
      <c r="W148" s="26" t="s">
        <v>169</v>
      </c>
      <c r="X148" s="26"/>
      <c r="Y148" t="s">
        <v>169</v>
      </c>
      <c r="Z148" t="s">
        <v>169</v>
      </c>
    </row>
    <row r="149" spans="1:26" ht="13.5" thickBot="1">
      <c r="A149" s="43" t="s">
        <v>277</v>
      </c>
      <c r="B149" s="19" t="str">
        <f>_xll.BDP(A149&amp;" mtge ISIN",$B$4)</f>
        <v>SLMA 2006-7 A5</v>
      </c>
      <c r="C149" s="20">
        <f>H149</f>
        <v>1000000</v>
      </c>
      <c r="D149" s="21">
        <v>25</v>
      </c>
      <c r="E149" s="21" t="s">
        <v>152</v>
      </c>
      <c r="F149" s="23" t="b">
        <v>1</v>
      </c>
      <c r="G149" s="24"/>
      <c r="H149" s="30">
        <v>1000000</v>
      </c>
      <c r="I149" s="31">
        <v>1000000</v>
      </c>
      <c r="J149" t="str">
        <f>_xll.BDP($A149&amp;" mtge","MTG WAL","ALLOW_DYNAMIC_CASHFLOW_CALCS ","Y","MTG PREPAY SPEED",D149,"MTG PREPAY TYP",$E149)</f>
        <v>#N/A N/A</v>
      </c>
      <c r="K149" s="2" t="str">
        <f>_xll.BDP($A149&amp;" mtge","MTG_NXT_PAY_DT_SET_DT ")</f>
        <v>7/25/2016</v>
      </c>
      <c r="L149" s="2" t="e">
        <f>MAX(#REF!)</f>
        <v>#REF!</v>
      </c>
      <c r="M149" t="str">
        <f>_xll.BDP(A149&amp;" mtge ISIN","Maturity")</f>
        <v>1/27/2025</v>
      </c>
      <c r="N149" t="e">
        <f t="shared" si="17"/>
        <v>#REF!</v>
      </c>
      <c r="O149" s="15" t="e">
        <f>#REF!+#REF!</f>
        <v>#REF!</v>
      </c>
      <c r="P149" s="22" t="e">
        <f t="shared" si="18"/>
        <v>#REF!</v>
      </c>
      <c r="Q149">
        <f>_xll.BDP(A149&amp;" mtge ISIN",$Q$4)</f>
        <v>0.73797241920300005</v>
      </c>
      <c r="R149" t="b">
        <f t="shared" si="19"/>
        <v>0</v>
      </c>
      <c r="S149" s="25"/>
      <c r="T149" s="26" t="str">
        <f t="shared" si="20"/>
        <v>NOT OK</v>
      </c>
      <c r="U149" s="26" t="s">
        <v>169</v>
      </c>
      <c r="V149" s="26" t="s">
        <v>169</v>
      </c>
      <c r="W149" s="26" t="s">
        <v>169</v>
      </c>
      <c r="X149" s="26"/>
      <c r="Y149" t="e">
        <v>#REF!</v>
      </c>
      <c r="Z149" t="e">
        <v>#REF!</v>
      </c>
    </row>
    <row r="150" spans="1:26" ht="13.5" thickBot="1">
      <c r="A150" s="41" t="s">
        <v>124</v>
      </c>
      <c r="B150" s="19" t="str">
        <f>_xll.BDP(A150&amp;" mtge ISIN",$B$4)</f>
        <v>SLMA 2006-7 A6A</v>
      </c>
      <c r="C150" s="20">
        <f>I150</f>
        <v>1000000</v>
      </c>
      <c r="D150" s="21">
        <v>25</v>
      </c>
      <c r="E150" s="21" t="s">
        <v>152</v>
      </c>
      <c r="F150" s="23"/>
      <c r="G150" s="24" t="b">
        <v>1</v>
      </c>
      <c r="H150" s="30">
        <v>1000000</v>
      </c>
      <c r="I150" s="31">
        <v>1000000</v>
      </c>
      <c r="J150" t="str">
        <f>_xll.BDP($A150&amp;" mtge","MTG WAL","ALLOW_DYNAMIC_CASHFLOW_CALCS ","Y","MTG PREPAY SPEED",D150,"MTG PREPAY TYP",$E150)</f>
        <v>#N/A N/A</v>
      </c>
      <c r="K150" s="2" t="str">
        <f>_xll.BDP($A150&amp;" mtge","MTG_NXT_PAY_DT_SET_DT ")</f>
        <v>7/25/2016</v>
      </c>
      <c r="L150" s="2" t="e">
        <f>MAX(#REF!)</f>
        <v>#REF!</v>
      </c>
      <c r="M150" t="str">
        <f>_xll.BDP(A150&amp;" mtge ISIN","Maturity")</f>
        <v>1/27/2042</v>
      </c>
      <c r="N150" t="e">
        <f t="shared" si="17"/>
        <v>#REF!</v>
      </c>
      <c r="O150" s="15" t="e">
        <f>#REF!+#REF!</f>
        <v>#REF!</v>
      </c>
      <c r="P150" s="22" t="e">
        <f t="shared" si="18"/>
        <v>#REF!</v>
      </c>
      <c r="Q150">
        <f>_xll.BDP(A150&amp;" mtge ISIN",$Q$4)</f>
        <v>1</v>
      </c>
      <c r="R150" t="b">
        <f t="shared" si="19"/>
        <v>0</v>
      </c>
      <c r="S150" s="25"/>
      <c r="T150" s="26" t="str">
        <f t="shared" si="20"/>
        <v>NOT OK</v>
      </c>
      <c r="U150" s="26"/>
      <c r="V150" s="26"/>
      <c r="W150" s="26"/>
      <c r="X150" s="26"/>
      <c r="Y150" t="s">
        <v>169</v>
      </c>
      <c r="Z150" t="s">
        <v>169</v>
      </c>
    </row>
    <row r="151" spans="1:26" ht="13.5" thickBot="1">
      <c r="A151" s="41" t="s">
        <v>125</v>
      </c>
      <c r="B151" s="19" t="str">
        <f>_xll.BDP(A151&amp;" mtge ISIN",$B$4)</f>
        <v>SLMA 2006-8 A3</v>
      </c>
      <c r="C151" s="20">
        <f>I151</f>
        <v>1000000</v>
      </c>
      <c r="D151" s="21">
        <v>25</v>
      </c>
      <c r="E151" s="21" t="s">
        <v>152</v>
      </c>
      <c r="F151" s="23"/>
      <c r="G151" s="24" t="b">
        <v>1</v>
      </c>
      <c r="H151" s="30">
        <v>1000000</v>
      </c>
      <c r="I151" s="31">
        <v>1000000</v>
      </c>
      <c r="J151" t="str">
        <f>_xll.BDP($A151&amp;" mtge","MTG WAL","ALLOW_DYNAMIC_CASHFLOW_CALCS ","Y","MTG PREPAY SPEED",D151,"MTG PREPAY TYP",$E151)</f>
        <v>#N/A N/A</v>
      </c>
      <c r="K151" s="2" t="str">
        <f>_xll.BDP($A151&amp;" mtge","MTG_NXT_PAY_DT_SET_DT ")</f>
        <v>7/25/2016</v>
      </c>
      <c r="L151" s="2" t="e">
        <f>MAX(#REF!)</f>
        <v>#REF!</v>
      </c>
      <c r="M151" t="str">
        <f>_xll.BDP(A151&amp;" mtge ISIN","Maturity")</f>
        <v>1/25/2018</v>
      </c>
      <c r="N151" t="e">
        <f t="shared" si="17"/>
        <v>#REF!</v>
      </c>
      <c r="O151" s="15" t="e">
        <f>#REF!+#REF!</f>
        <v>#REF!</v>
      </c>
      <c r="P151" s="22" t="e">
        <f t="shared" si="18"/>
        <v>#REF!</v>
      </c>
      <c r="Q151">
        <f>_xll.BDP(A151&amp;" mtge ISIN",$Q$4)</f>
        <v>0</v>
      </c>
      <c r="R151" t="b">
        <f t="shared" si="19"/>
        <v>0</v>
      </c>
      <c r="S151" s="25"/>
      <c r="T151" s="26" t="str">
        <f t="shared" si="20"/>
        <v>NOT OK</v>
      </c>
      <c r="U151" s="26"/>
      <c r="V151" s="26"/>
      <c r="W151" s="26"/>
      <c r="X151" s="26"/>
      <c r="Y151" t="s">
        <v>169</v>
      </c>
      <c r="Z151" t="s">
        <v>169</v>
      </c>
    </row>
    <row r="152" spans="1:26" ht="13.5" thickBot="1">
      <c r="A152" s="42" t="s">
        <v>126</v>
      </c>
      <c r="B152" s="19" t="str">
        <f>_xll.BDP(A152&amp;" mtge ISIN",$B$4)</f>
        <v>SLMA 2006-8 A4</v>
      </c>
      <c r="C152" s="20">
        <f>H152</f>
        <v>1000000</v>
      </c>
      <c r="D152" s="21">
        <v>25</v>
      </c>
      <c r="E152" s="21" t="s">
        <v>152</v>
      </c>
      <c r="F152" s="23" t="b">
        <v>1</v>
      </c>
      <c r="G152" s="24" t="b">
        <v>1</v>
      </c>
      <c r="H152" s="30">
        <v>1000000</v>
      </c>
      <c r="I152" s="31">
        <v>1000000</v>
      </c>
      <c r="J152" t="str">
        <f>_xll.BDP($A152&amp;" mtge","MTG WAL","ALLOW_DYNAMIC_CASHFLOW_CALCS ","Y","MTG PREPAY SPEED",D152,"MTG PREPAY TYP",$E152)</f>
        <v>#N/A N/A</v>
      </c>
      <c r="K152" s="2" t="str">
        <f>_xll.BDP($A152&amp;" mtge","MTG_NXT_PAY_DT_SET_DT ")</f>
        <v>7/25/2016</v>
      </c>
      <c r="L152" s="2" t="e">
        <f>MAX(#REF!)</f>
        <v>#REF!</v>
      </c>
      <c r="M152" t="str">
        <f>_xll.BDP(A152&amp;" mtge ISIN","Maturity")</f>
        <v>10/25/2021</v>
      </c>
      <c r="N152" t="e">
        <f t="shared" si="17"/>
        <v>#REF!</v>
      </c>
      <c r="O152" s="15" t="e">
        <f>#REF!+#REF!</f>
        <v>#REF!</v>
      </c>
      <c r="P152" s="22" t="e">
        <f t="shared" si="18"/>
        <v>#REF!</v>
      </c>
      <c r="Q152">
        <f>_xll.BDP(A152&amp;" mtge ISIN",$Q$4)</f>
        <v>0.1084846746</v>
      </c>
      <c r="R152" t="b">
        <f t="shared" si="19"/>
        <v>0</v>
      </c>
      <c r="S152" s="25"/>
      <c r="T152" s="26" t="str">
        <f t="shared" si="20"/>
        <v>NOT OK</v>
      </c>
      <c r="U152" s="26" t="s">
        <v>169</v>
      </c>
      <c r="V152" s="26" t="s">
        <v>169</v>
      </c>
      <c r="W152" s="26" t="s">
        <v>169</v>
      </c>
      <c r="X152" s="26"/>
      <c r="Y152" s="16" t="s">
        <v>169</v>
      </c>
      <c r="Z152" s="16" t="s">
        <v>169</v>
      </c>
    </row>
    <row r="153" spans="1:26" ht="13.5" thickBot="1">
      <c r="A153" s="41" t="s">
        <v>127</v>
      </c>
      <c r="B153" s="19" t="str">
        <f>_xll.BDP(A153&amp;" mtge ISIN",$B$4)</f>
        <v>SLMA 2006-8 A5</v>
      </c>
      <c r="C153" s="20">
        <f>H153</f>
        <v>1000000</v>
      </c>
      <c r="D153" s="21">
        <v>25</v>
      </c>
      <c r="E153" s="21" t="s">
        <v>152</v>
      </c>
      <c r="F153" s="23" t="b">
        <v>1</v>
      </c>
      <c r="G153" s="24" t="b">
        <v>1</v>
      </c>
      <c r="H153" s="30">
        <v>1000000</v>
      </c>
      <c r="I153" s="31">
        <v>1000000</v>
      </c>
      <c r="J153" t="str">
        <f>_xll.BDP($A153&amp;" mtge","MTG WAL","ALLOW_DYNAMIC_CASHFLOW_CALCS ","Y","MTG PREPAY SPEED",D153,"MTG PREPAY TYP",$E153)</f>
        <v>#N/A N/A</v>
      </c>
      <c r="K153" s="2" t="str">
        <f>_xll.BDP($A153&amp;" mtge","MTG_NXT_PAY_DT_SET_DT ")</f>
        <v>7/25/2016</v>
      </c>
      <c r="L153" s="2" t="e">
        <f>MAX(#REF!)</f>
        <v>#REF!</v>
      </c>
      <c r="M153" t="str">
        <f>_xll.BDP(A153&amp;" mtge ISIN","Maturity")</f>
        <v>1/27/2025</v>
      </c>
      <c r="N153" t="e">
        <f t="shared" si="17"/>
        <v>#REF!</v>
      </c>
      <c r="O153" s="15" t="e">
        <f>#REF!+#REF!</f>
        <v>#REF!</v>
      </c>
      <c r="P153" s="22" t="e">
        <f t="shared" si="18"/>
        <v>#REF!</v>
      </c>
      <c r="Q153">
        <f>_xll.BDP(A153&amp;" mtge ISIN",$Q$4)</f>
        <v>1</v>
      </c>
      <c r="R153" t="b">
        <f t="shared" si="19"/>
        <v>0</v>
      </c>
      <c r="S153" s="25"/>
      <c r="T153" s="26" t="str">
        <f t="shared" si="20"/>
        <v>NOT OK</v>
      </c>
      <c r="U153" s="26" t="s">
        <v>169</v>
      </c>
      <c r="V153" s="26" t="s">
        <v>169</v>
      </c>
      <c r="W153" s="26" t="s">
        <v>169</v>
      </c>
      <c r="X153" s="26"/>
      <c r="Y153" t="s">
        <v>169</v>
      </c>
      <c r="Z153" t="s">
        <v>169</v>
      </c>
    </row>
    <row r="154" spans="1:26" ht="13.5" thickBot="1">
      <c r="A154" s="41" t="s">
        <v>128</v>
      </c>
      <c r="B154" s="19" t="str">
        <f>_xll.BDP(A154&amp;" mtge ISIN",$B$4)</f>
        <v>SLMA 2006-8 A6</v>
      </c>
      <c r="C154" s="20">
        <f>H154</f>
        <v>1000000</v>
      </c>
      <c r="D154" s="21">
        <v>25</v>
      </c>
      <c r="E154" s="21" t="s">
        <v>152</v>
      </c>
      <c r="F154" s="23" t="b">
        <v>1</v>
      </c>
      <c r="G154" s="24" t="b">
        <v>1</v>
      </c>
      <c r="H154" s="30">
        <v>1000000</v>
      </c>
      <c r="I154" s="31">
        <v>1000000</v>
      </c>
      <c r="J154" t="str">
        <f>_xll.BDP($A154&amp;" mtge","MTG WAL","ALLOW_DYNAMIC_CASHFLOW_CALCS ","Y","MTG PREPAY SPEED",D154,"MTG PREPAY TYP",$E154)</f>
        <v>#N/A N/A</v>
      </c>
      <c r="K154" s="2" t="str">
        <f>_xll.BDP($A154&amp;" mtge","MTG_NXT_PAY_DT_SET_DT ")</f>
        <v>7/25/2016</v>
      </c>
      <c r="L154" s="2" t="e">
        <f>MAX(#REF!)</f>
        <v>#REF!</v>
      </c>
      <c r="M154" t="str">
        <f>_xll.BDP(A154&amp;" mtge ISIN","Maturity")</f>
        <v>1/25/2041</v>
      </c>
      <c r="N154" t="e">
        <f t="shared" si="17"/>
        <v>#REF!</v>
      </c>
      <c r="O154" s="15" t="e">
        <f>#REF!+#REF!</f>
        <v>#REF!</v>
      </c>
      <c r="P154" s="22" t="e">
        <f t="shared" si="18"/>
        <v>#REF!</v>
      </c>
      <c r="Q154">
        <f>_xll.BDP(A154&amp;" mtge ISIN",$Q$4)</f>
        <v>1</v>
      </c>
      <c r="R154" t="b">
        <f t="shared" si="19"/>
        <v>0</v>
      </c>
      <c r="S154" s="25"/>
      <c r="T154" s="26" t="str">
        <f t="shared" si="20"/>
        <v>NOT OK</v>
      </c>
      <c r="U154" s="26" t="s">
        <v>169</v>
      </c>
      <c r="V154" s="26" t="s">
        <v>169</v>
      </c>
      <c r="W154" s="26" t="s">
        <v>169</v>
      </c>
      <c r="X154" s="26"/>
      <c r="Y154" s="16" t="s">
        <v>169</v>
      </c>
      <c r="Z154" s="16" t="s">
        <v>169</v>
      </c>
    </row>
    <row r="155" spans="1:26" ht="13.5" thickBot="1">
      <c r="A155" s="9" t="s">
        <v>129</v>
      </c>
      <c r="B155" s="19" t="str">
        <f>_xll.BDP(A155&amp;" mtge ISIN",$B$4)</f>
        <v>SLMA 2006-9 A5</v>
      </c>
      <c r="C155" s="20">
        <f>H155</f>
        <v>1000000</v>
      </c>
      <c r="D155" s="21">
        <v>25</v>
      </c>
      <c r="E155" s="21" t="s">
        <v>152</v>
      </c>
      <c r="F155" s="23" t="b">
        <v>1</v>
      </c>
      <c r="G155" s="24"/>
      <c r="H155" s="30">
        <v>1000000</v>
      </c>
      <c r="I155" s="31">
        <v>1000000</v>
      </c>
      <c r="J155" t="str">
        <f>_xll.BDP($A155&amp;" mtge","MTG WAL","ALLOW_DYNAMIC_CASHFLOW_CALCS ","Y","MTG PREPAY SPEED",D155,"MTG PREPAY TYP",$E155)</f>
        <v>#N/A N/A</v>
      </c>
      <c r="K155" s="2" t="str">
        <f>_xll.BDP($A155&amp;" mtge","MTG_NXT_PAY_DT_SET_DT ")</f>
        <v>7/25/2016</v>
      </c>
      <c r="L155" s="2" t="e">
        <f>MAX(#REF!)</f>
        <v>#REF!</v>
      </c>
      <c r="M155" t="str">
        <f>_xll.BDP(A155&amp;" mtge ISIN","Maturity")</f>
        <v>1/26/2026</v>
      </c>
      <c r="N155" t="e">
        <f t="shared" si="17"/>
        <v>#REF!</v>
      </c>
      <c r="O155" s="15" t="e">
        <f>#REF!+#REF!</f>
        <v>#REF!</v>
      </c>
      <c r="P155" s="22" t="e">
        <f t="shared" si="18"/>
        <v>#REF!</v>
      </c>
      <c r="Q155">
        <f>_xll.BDP(A155&amp;" mtge ISIN",$Q$4)</f>
        <v>1</v>
      </c>
      <c r="R155" t="b">
        <f t="shared" si="19"/>
        <v>0</v>
      </c>
      <c r="S155" s="25"/>
      <c r="T155" s="26" t="str">
        <f t="shared" si="20"/>
        <v>NOT OK</v>
      </c>
      <c r="U155" s="26" t="s">
        <v>169</v>
      </c>
      <c r="V155" s="26" t="s">
        <v>169</v>
      </c>
      <c r="W155" s="26" t="s">
        <v>169</v>
      </c>
      <c r="X155" s="26"/>
      <c r="Y155" t="e">
        <v>#REF!</v>
      </c>
      <c r="Z155" t="e">
        <v>#REF!</v>
      </c>
    </row>
    <row r="156" spans="1:26" ht="13.5" thickBot="1">
      <c r="A156" s="41" t="s">
        <v>130</v>
      </c>
      <c r="B156" s="19" t="str">
        <f>_xll.BDP(A156&amp;" mtge ISIN",$B$4)</f>
        <v>SLMA 2006-9 A6</v>
      </c>
      <c r="C156" s="20">
        <f>H156</f>
        <v>1000000</v>
      </c>
      <c r="D156" s="21">
        <v>25</v>
      </c>
      <c r="E156" s="21" t="s">
        <v>152</v>
      </c>
      <c r="F156" s="23" t="b">
        <v>1</v>
      </c>
      <c r="G156" s="24" t="b">
        <v>1</v>
      </c>
      <c r="H156" s="30">
        <v>1000000</v>
      </c>
      <c r="I156" s="31">
        <v>1000000</v>
      </c>
      <c r="J156" t="str">
        <f>_xll.BDP($A156&amp;" mtge","MTG WAL","ALLOW_DYNAMIC_CASHFLOW_CALCS ","Y","MTG PREPAY SPEED",D156,"MTG PREPAY TYP",$E156)</f>
        <v>#N/A N/A</v>
      </c>
      <c r="K156" s="2" t="str">
        <f>_xll.BDP($A156&amp;" mtge","MTG_NXT_PAY_DT_SET_DT ")</f>
        <v>7/25/2016</v>
      </c>
      <c r="L156" s="2" t="e">
        <f>MAX(#REF!)</f>
        <v>#REF!</v>
      </c>
      <c r="M156" t="str">
        <f>_xll.BDP(A156&amp;" mtge ISIN","Maturity")</f>
        <v>1/25/2041</v>
      </c>
      <c r="N156" t="e">
        <f t="shared" si="17"/>
        <v>#REF!</v>
      </c>
      <c r="O156" s="15" t="e">
        <f>#REF!+#REF!</f>
        <v>#REF!</v>
      </c>
      <c r="P156" s="22" t="e">
        <f t="shared" si="18"/>
        <v>#REF!</v>
      </c>
      <c r="Q156">
        <f>_xll.BDP(A156&amp;" mtge ISIN",$Q$4)</f>
        <v>1</v>
      </c>
      <c r="R156" t="b">
        <f t="shared" si="19"/>
        <v>0</v>
      </c>
      <c r="S156" s="25"/>
      <c r="T156" s="26" t="str">
        <f t="shared" si="20"/>
        <v>NOT OK</v>
      </c>
      <c r="U156" s="26" t="s">
        <v>169</v>
      </c>
      <c r="V156" s="26" t="s">
        <v>169</v>
      </c>
      <c r="W156" s="26" t="s">
        <v>169</v>
      </c>
      <c r="X156" t="s">
        <v>169</v>
      </c>
      <c r="Y156" t="s">
        <v>169</v>
      </c>
      <c r="Z156" t="s">
        <v>169</v>
      </c>
    </row>
    <row r="157" spans="1:26" ht="13.5" thickBot="1">
      <c r="A157" s="41" t="s">
        <v>131</v>
      </c>
      <c r="B157" s="19" t="str">
        <f>_xll.BDP(A157&amp;" mtge ISIN",$B$4)</f>
        <v>SLMA 2007-1 A4</v>
      </c>
      <c r="C157" s="20">
        <f>I157</f>
        <v>1000000</v>
      </c>
      <c r="D157" s="21">
        <v>25</v>
      </c>
      <c r="E157" s="21" t="s">
        <v>152</v>
      </c>
      <c r="F157" s="23"/>
      <c r="G157" s="24" t="b">
        <v>1</v>
      </c>
      <c r="H157" s="30">
        <v>1000000</v>
      </c>
      <c r="I157" s="31">
        <v>1000000</v>
      </c>
      <c r="J157" t="str">
        <f>_xll.BDP($A157&amp;" mtge","MTG WAL","ALLOW_DYNAMIC_CASHFLOW_CALCS ","Y","MTG PREPAY SPEED",D157,"MTG PREPAY TYP",$E157)</f>
        <v>#N/A N/A</v>
      </c>
      <c r="K157" s="2" t="str">
        <f>_xll.BDP($A157&amp;" mtge","MTG_NXT_PAY_DT_SET_DT ")</f>
        <v>7/25/2016</v>
      </c>
      <c r="L157" s="2" t="e">
        <f>MAX(#REF!)</f>
        <v>#REF!</v>
      </c>
      <c r="M157" t="str">
        <f>_xll.BDP(A157&amp;" mtge ISIN","Maturity")</f>
        <v>1/25/2022</v>
      </c>
      <c r="N157" t="e">
        <f t="shared" si="17"/>
        <v>#REF!</v>
      </c>
      <c r="O157" s="15" t="e">
        <f>#REF!+#REF!</f>
        <v>#REF!</v>
      </c>
      <c r="P157" s="22" t="e">
        <f t="shared" si="18"/>
        <v>#REF!</v>
      </c>
      <c r="Q157">
        <f>_xll.BDP(A157&amp;" mtge ISIN",$Q$4)</f>
        <v>6.5491626400000003E-2</v>
      </c>
      <c r="R157" t="b">
        <f t="shared" si="19"/>
        <v>0</v>
      </c>
      <c r="S157" s="25"/>
      <c r="T157" s="26" t="str">
        <f t="shared" si="20"/>
        <v>NOT OK</v>
      </c>
      <c r="U157" s="26"/>
      <c r="V157" s="26"/>
      <c r="W157" s="26"/>
      <c r="X157" s="26"/>
      <c r="Y157" t="s">
        <v>169</v>
      </c>
      <c r="Z157" t="s">
        <v>169</v>
      </c>
    </row>
    <row r="158" spans="1:26" ht="13.5" thickBot="1">
      <c r="A158" s="41" t="s">
        <v>278</v>
      </c>
      <c r="B158" s="19" t="str">
        <f>_xll.BDP(A158&amp;" mtge ISIN",$B$4)</f>
        <v>SLMA 2007-1 A5</v>
      </c>
      <c r="C158" s="20">
        <f>I158</f>
        <v>1000000</v>
      </c>
      <c r="D158" s="21">
        <v>25</v>
      </c>
      <c r="E158" s="21" t="s">
        <v>152</v>
      </c>
      <c r="F158" s="23"/>
      <c r="G158" s="24" t="b">
        <v>1</v>
      </c>
      <c r="H158" s="30">
        <v>1000000</v>
      </c>
      <c r="I158" s="31">
        <v>1000000</v>
      </c>
      <c r="J158" t="str">
        <f>_xll.BDP($A158&amp;" mtge","MTG WAL","ALLOW_DYNAMIC_CASHFLOW_CALCS ","Y","MTG PREPAY SPEED",D158,"MTG PREPAY TYP",$E158)</f>
        <v>#N/A N/A</v>
      </c>
      <c r="K158" s="2" t="str">
        <f>_xll.BDP($A158&amp;" mtge","MTG_NXT_PAY_DT_SET_DT ")</f>
        <v>7/25/2016</v>
      </c>
      <c r="L158" s="2" t="e">
        <f>MAX(#REF!)</f>
        <v>#REF!</v>
      </c>
      <c r="M158" t="str">
        <f>_xll.BDP(A158&amp;" mtge ISIN","Maturity")</f>
        <v>1/26/2026</v>
      </c>
      <c r="N158" t="e">
        <f t="shared" si="17"/>
        <v>#REF!</v>
      </c>
      <c r="O158" s="15" t="e">
        <f>#REF!+#REF!</f>
        <v>#REF!</v>
      </c>
      <c r="P158" s="22" t="e">
        <f t="shared" si="18"/>
        <v>#REF!</v>
      </c>
      <c r="Q158">
        <f>_xll.BDP(A158&amp;" mtge ISIN",$Q$4)</f>
        <v>1</v>
      </c>
      <c r="R158" t="b">
        <f t="shared" si="19"/>
        <v>0</v>
      </c>
      <c r="S158" s="25"/>
      <c r="T158" s="26" t="str">
        <f t="shared" si="20"/>
        <v>NOT OK</v>
      </c>
      <c r="U158" s="26"/>
      <c r="V158" s="26"/>
      <c r="W158" s="26"/>
      <c r="X158" s="26"/>
      <c r="Y158" t="s">
        <v>169</v>
      </c>
      <c r="Z158" t="s">
        <v>169</v>
      </c>
    </row>
    <row r="159" spans="1:26" ht="13.5" thickBot="1">
      <c r="A159" s="41" t="s">
        <v>132</v>
      </c>
      <c r="B159" s="19" t="str">
        <f>_xll.BDP(A159&amp;" mtge ISIN",$B$4)</f>
        <v>SLMA 2007-1 A6</v>
      </c>
      <c r="C159" s="20">
        <f>H159</f>
        <v>1000000</v>
      </c>
      <c r="D159" s="21">
        <v>25</v>
      </c>
      <c r="E159" s="21" t="s">
        <v>152</v>
      </c>
      <c r="F159" s="23" t="b">
        <v>1</v>
      </c>
      <c r="G159" s="24" t="b">
        <v>1</v>
      </c>
      <c r="H159" s="30">
        <v>1000000</v>
      </c>
      <c r="I159" s="31">
        <v>1000000</v>
      </c>
      <c r="J159" t="str">
        <f>_xll.BDP($A159&amp;" mtge","MTG WAL","ALLOW_DYNAMIC_CASHFLOW_CALCS ","Y","MTG PREPAY SPEED",D159,"MTG PREPAY TYP",$E159)</f>
        <v>#N/A N/A</v>
      </c>
      <c r="K159" s="2" t="str">
        <f>_xll.BDP($A159&amp;" mtge","MTG_NXT_PAY_DT_SET_DT ")</f>
        <v>7/25/2016</v>
      </c>
      <c r="L159" s="2" t="e">
        <f>MAX(#REF!)</f>
        <v>#REF!</v>
      </c>
      <c r="M159" t="str">
        <f>_xll.BDP(A159&amp;" mtge ISIN","Maturity")</f>
        <v>1/27/2042</v>
      </c>
      <c r="N159" t="e">
        <f t="shared" si="17"/>
        <v>#REF!</v>
      </c>
      <c r="O159" s="15" t="e">
        <f>#REF!+#REF!</f>
        <v>#REF!</v>
      </c>
      <c r="P159" s="22" t="e">
        <f t="shared" si="18"/>
        <v>#REF!</v>
      </c>
      <c r="Q159">
        <f>_xll.BDP(A159&amp;" mtge ISIN",$Q$4)</f>
        <v>1</v>
      </c>
      <c r="R159" t="b">
        <f t="shared" si="19"/>
        <v>0</v>
      </c>
      <c r="S159" s="25"/>
      <c r="T159" s="26" t="str">
        <f t="shared" si="20"/>
        <v>NOT OK</v>
      </c>
      <c r="U159" s="26" t="s">
        <v>169</v>
      </c>
      <c r="V159" s="26" t="s">
        <v>169</v>
      </c>
      <c r="W159" s="26" t="s">
        <v>169</v>
      </c>
      <c r="X159" s="26"/>
      <c r="Y159" s="16" t="s">
        <v>169</v>
      </c>
      <c r="Z159" s="16" t="s">
        <v>169</v>
      </c>
    </row>
    <row r="160" spans="1:26" ht="13.5" thickBot="1">
      <c r="A160" s="41" t="s">
        <v>279</v>
      </c>
      <c r="B160" s="19" t="str">
        <f>_xll.BDP(A160&amp;" mtge ISIN",$B$4)</f>
        <v>SLMA 2007-2 A4</v>
      </c>
      <c r="C160" s="20">
        <f>I160</f>
        <v>1000000</v>
      </c>
      <c r="D160" s="21" t="s">
        <v>25</v>
      </c>
      <c r="E160" s="21" t="s">
        <v>150</v>
      </c>
      <c r="F160" s="23"/>
      <c r="G160" s="24" t="b">
        <v>1</v>
      </c>
      <c r="H160" s="30">
        <v>1000000</v>
      </c>
      <c r="I160" s="31">
        <v>1000000</v>
      </c>
      <c r="J160" t="str">
        <f>_xll.BDP($A160&amp;" mtge","MTG WAL","ALLOW_DYNAMIC_CASHFLOW_CALCS ","Y","MTG PREPAY SPEED",D160,"MTG PREPAY TYP",$E160)</f>
        <v>#N/A N/A</v>
      </c>
      <c r="K160" s="2" t="str">
        <f>_xll.BDP($A160&amp;" mtge","MTG_NXT_PAY_DT_SET_DT ")</f>
        <v>7/25/2016</v>
      </c>
      <c r="L160" s="2" t="e">
        <f>MAX(#REF!)</f>
        <v>#REF!</v>
      </c>
      <c r="M160" t="str">
        <f>_xll.BDP(A160&amp;" mtge ISIN","Maturity")</f>
        <v>7/25/2022</v>
      </c>
      <c r="N160" t="e">
        <f t="shared" si="17"/>
        <v>#REF!</v>
      </c>
      <c r="O160" s="15" t="e">
        <f>#REF!+#REF!</f>
        <v>#REF!</v>
      </c>
      <c r="P160" s="22" t="e">
        <f t="shared" si="18"/>
        <v>#REF!</v>
      </c>
      <c r="Q160">
        <f>_xll.BDP(A160&amp;" mtge ISIN",$Q$4)</f>
        <v>1</v>
      </c>
      <c r="R160" t="b">
        <f t="shared" si="19"/>
        <v>0</v>
      </c>
      <c r="S160" s="25"/>
      <c r="T160" s="26" t="str">
        <f t="shared" si="20"/>
        <v>NOT OK</v>
      </c>
      <c r="U160" s="26"/>
      <c r="V160" s="26"/>
      <c r="W160" s="26"/>
      <c r="X160" s="26"/>
      <c r="Y160" t="s">
        <v>169</v>
      </c>
      <c r="Z160" t="s">
        <v>169</v>
      </c>
    </row>
    <row r="161" spans="1:26" ht="13.5" thickBot="1">
      <c r="A161" s="41" t="s">
        <v>280</v>
      </c>
      <c r="B161" s="19" t="str">
        <f>_xll.BDP(A161&amp;" mtge ISIN",$B$4)</f>
        <v>SLMA 2007-3 A4</v>
      </c>
      <c r="C161" s="20">
        <f>I161</f>
        <v>1000000</v>
      </c>
      <c r="D161" s="21" t="s">
        <v>25</v>
      </c>
      <c r="E161" s="21" t="s">
        <v>150</v>
      </c>
      <c r="F161" s="23"/>
      <c r="G161" s="24" t="b">
        <v>1</v>
      </c>
      <c r="H161" s="30">
        <v>1000000</v>
      </c>
      <c r="I161" s="31">
        <v>1000000</v>
      </c>
      <c r="J161" t="str">
        <f>_xll.BDP($A161&amp;" mtge","MTG WAL","ALLOW_DYNAMIC_CASHFLOW_CALCS ","Y","MTG PREPAY SPEED",D161,"MTG PREPAY TYP",$E161)</f>
        <v>#N/A N/A</v>
      </c>
      <c r="K161" s="2" t="str">
        <f>_xll.BDP($A161&amp;" mtge","MTG_NXT_PAY_DT_SET_DT ")</f>
        <v>7/25/2016</v>
      </c>
      <c r="L161" s="2" t="e">
        <f>MAX(#REF!)</f>
        <v>#REF!</v>
      </c>
      <c r="M161" t="str">
        <f>_xll.BDP(A161&amp;" mtge ISIN","Maturity")</f>
        <v>1/25/2022</v>
      </c>
      <c r="N161" t="e">
        <f t="shared" si="17"/>
        <v>#REF!</v>
      </c>
      <c r="O161" s="15" t="e">
        <f>#REF!+#REF!</f>
        <v>#REF!</v>
      </c>
      <c r="P161" s="22" t="e">
        <f t="shared" si="18"/>
        <v>#REF!</v>
      </c>
      <c r="Q161">
        <f>_xll.BDP(A161&amp;" mtge ISIN",$Q$4)</f>
        <v>1</v>
      </c>
      <c r="R161" t="b">
        <f t="shared" si="19"/>
        <v>0</v>
      </c>
      <c r="S161" s="25"/>
      <c r="T161" s="26" t="str">
        <f t="shared" si="20"/>
        <v>NOT OK</v>
      </c>
      <c r="U161" s="26"/>
      <c r="V161" s="26"/>
      <c r="W161" s="26"/>
      <c r="X161" s="26"/>
      <c r="Y161" s="16" t="s">
        <v>169</v>
      </c>
      <c r="Z161" s="16" t="s">
        <v>169</v>
      </c>
    </row>
    <row r="162" spans="1:26" ht="13.5" thickBot="1">
      <c r="A162" s="41" t="s">
        <v>133</v>
      </c>
      <c r="B162" s="19" t="str">
        <f>_xll.BDP(A162&amp;" mtge ISIN",$B$4)</f>
        <v>SLMA 2007-4 A4A</v>
      </c>
      <c r="C162" s="20">
        <f>I162</f>
        <v>1000000</v>
      </c>
      <c r="D162" s="21">
        <v>25</v>
      </c>
      <c r="E162" s="21" t="s">
        <v>152</v>
      </c>
      <c r="F162" s="23"/>
      <c r="G162" s="24" t="b">
        <v>1</v>
      </c>
      <c r="H162" s="30">
        <v>226500000</v>
      </c>
      <c r="I162" s="31">
        <v>1000000</v>
      </c>
      <c r="J162" t="str">
        <f>_xll.BDP($A162&amp;" mtge","MTG WAL","ALLOW_DYNAMIC_CASHFLOW_CALCS ","Y","MTG PREPAY SPEED",D162,"MTG PREPAY TYP",$E162)</f>
        <v>#N/A N/A</v>
      </c>
      <c r="K162" s="2" t="str">
        <f>_xll.BDP($A162&amp;" mtge","MTG_NXT_PAY_DT_SET_DT ")</f>
        <v>7/25/2016</v>
      </c>
      <c r="L162" s="2" t="e">
        <f>MAX(#REF!)</f>
        <v>#REF!</v>
      </c>
      <c r="M162" t="str">
        <f>_xll.BDP(A162&amp;" mtge ISIN","Maturity")</f>
        <v>4/25/2027</v>
      </c>
      <c r="N162" t="e">
        <f t="shared" si="17"/>
        <v>#REF!</v>
      </c>
      <c r="O162" s="15" t="e">
        <f>#REF!+#REF!</f>
        <v>#REF!</v>
      </c>
      <c r="P162" s="22" t="e">
        <f t="shared" si="18"/>
        <v>#REF!</v>
      </c>
      <c r="Q162">
        <f>_xll.BDP(A162&amp;" mtge ISIN",$Q$4)</f>
        <v>0.71300911654100008</v>
      </c>
      <c r="R162" t="b">
        <f t="shared" si="19"/>
        <v>0</v>
      </c>
      <c r="S162" s="25"/>
      <c r="T162" s="26" t="str">
        <f t="shared" si="20"/>
        <v>NOT OK</v>
      </c>
      <c r="U162" s="26"/>
      <c r="V162" s="26"/>
      <c r="W162" s="26"/>
      <c r="X162" s="26"/>
      <c r="Y162" t="s">
        <v>169</v>
      </c>
      <c r="Z162" t="s">
        <v>169</v>
      </c>
    </row>
    <row r="163" spans="1:26" ht="13.5" thickBot="1">
      <c r="A163" s="41" t="s">
        <v>134</v>
      </c>
      <c r="B163" s="19" t="str">
        <f>_xll.BDP(A163&amp;" mtge ISIN",$B$4)</f>
        <v>SLMA 2007-4 A5</v>
      </c>
      <c r="C163" s="20">
        <f>H163</f>
        <v>1000000</v>
      </c>
      <c r="D163" s="21">
        <v>25</v>
      </c>
      <c r="E163" s="21" t="s">
        <v>152</v>
      </c>
      <c r="F163" s="23" t="b">
        <v>1</v>
      </c>
      <c r="G163" s="24" t="b">
        <v>1</v>
      </c>
      <c r="H163" s="30">
        <v>1000000</v>
      </c>
      <c r="I163" s="31">
        <v>1000000</v>
      </c>
      <c r="J163" t="str">
        <f>_xll.BDP($A163&amp;" mtge","MTG WAL","ALLOW_DYNAMIC_CASHFLOW_CALCS ","Y","MTG PREPAY SPEED",D163,"MTG PREPAY TYP",$E163)</f>
        <v>#N/A N/A</v>
      </c>
      <c r="K163" s="2" t="str">
        <f>_xll.BDP($A163&amp;" mtge","MTG_NXT_PAY_DT_SET_DT ")</f>
        <v>7/25/2016</v>
      </c>
      <c r="L163" s="2" t="e">
        <f>MAX(#REF!)</f>
        <v>#REF!</v>
      </c>
      <c r="M163" t="str">
        <f>_xll.BDP(A163&amp;" mtge ISIN","Maturity")</f>
        <v>1/25/2042</v>
      </c>
      <c r="N163" t="e">
        <f t="shared" si="17"/>
        <v>#REF!</v>
      </c>
      <c r="O163" s="15" t="e">
        <f>#REF!+#REF!</f>
        <v>#REF!</v>
      </c>
      <c r="P163" s="22" t="e">
        <f t="shared" si="18"/>
        <v>#REF!</v>
      </c>
      <c r="Q163">
        <f>_xll.BDP(A163&amp;" mtge ISIN",$Q$4)</f>
        <v>1</v>
      </c>
      <c r="R163" t="b">
        <f t="shared" si="19"/>
        <v>0</v>
      </c>
      <c r="S163" s="25"/>
      <c r="T163" s="26" t="str">
        <f t="shared" si="20"/>
        <v>NOT OK</v>
      </c>
      <c r="U163" s="26" t="s">
        <v>169</v>
      </c>
      <c r="V163" s="26" t="s">
        <v>169</v>
      </c>
      <c r="W163" s="26" t="s">
        <v>169</v>
      </c>
      <c r="X163" s="26"/>
      <c r="Y163" t="s">
        <v>169</v>
      </c>
      <c r="Z163" t="s">
        <v>169</v>
      </c>
    </row>
    <row r="164" spans="1:26" ht="13.5" thickBot="1">
      <c r="A164" s="9" t="s">
        <v>135</v>
      </c>
      <c r="B164" s="19" t="str">
        <f>_xll.BDP(A164&amp;" mtge ISIN",$B$4)</f>
        <v>SLMA 2007-7 A2</v>
      </c>
      <c r="C164" s="20">
        <f>H164</f>
        <v>1000000</v>
      </c>
      <c r="D164" s="21" t="s">
        <v>25</v>
      </c>
      <c r="E164" s="21" t="s">
        <v>150</v>
      </c>
      <c r="F164" s="23" t="b">
        <v>1</v>
      </c>
      <c r="G164" s="24"/>
      <c r="H164" s="30">
        <v>1000000</v>
      </c>
      <c r="I164" s="31">
        <v>1000000</v>
      </c>
      <c r="J164" t="str">
        <f>_xll.BDP($A164&amp;" mtge","MTG WAL","ALLOW_DYNAMIC_CASHFLOW_CALCS ","Y","MTG PREPAY SPEED",D164,"MTG PREPAY TYP",$E164)</f>
        <v>#N/A N/A</v>
      </c>
      <c r="K164" s="2" t="str">
        <f>_xll.BDP($A164&amp;" mtge","MTG_NXT_PAY_DT_SET_DT ")</f>
        <v>7/25/2016</v>
      </c>
      <c r="L164" s="2" t="e">
        <f>MAX(#REF!)</f>
        <v>#REF!</v>
      </c>
      <c r="M164" t="str">
        <f>_xll.BDP(A164&amp;" mtge ISIN","Maturity")</f>
        <v>1/25/2016</v>
      </c>
      <c r="N164" t="e">
        <f t="shared" si="17"/>
        <v>#REF!</v>
      </c>
      <c r="O164" s="15" t="e">
        <f>#REF!+#REF!</f>
        <v>#REF!</v>
      </c>
      <c r="P164" s="22" t="e">
        <f t="shared" si="18"/>
        <v>#REF!</v>
      </c>
      <c r="Q164">
        <f>_xll.BDP(A164&amp;" mtge ISIN",$Q$4)</f>
        <v>0</v>
      </c>
      <c r="R164" t="b">
        <f t="shared" si="19"/>
        <v>0</v>
      </c>
      <c r="S164" s="25"/>
      <c r="T164" s="26" t="str">
        <f t="shared" si="20"/>
        <v>NOT OK</v>
      </c>
      <c r="U164" s="26" t="s">
        <v>169</v>
      </c>
      <c r="V164" s="26" t="s">
        <v>169</v>
      </c>
      <c r="W164" s="26" t="s">
        <v>169</v>
      </c>
      <c r="X164" s="26"/>
      <c r="Y164" t="e">
        <v>#REF!</v>
      </c>
      <c r="Z164" t="e">
        <v>#REF!</v>
      </c>
    </row>
    <row r="165" spans="1:26" ht="13.5" thickBot="1">
      <c r="A165" s="41" t="s">
        <v>136</v>
      </c>
      <c r="B165" s="19" t="str">
        <f>_xll.BDP(A165&amp;" mtge ISIN",$B$4)</f>
        <v>SLMA 2007-7 A4</v>
      </c>
      <c r="C165" s="20">
        <f t="shared" ref="C165:C178" si="21">I165</f>
        <v>1000000</v>
      </c>
      <c r="D165" s="21" t="s">
        <v>25</v>
      </c>
      <c r="E165" s="21" t="s">
        <v>150</v>
      </c>
      <c r="F165" s="23"/>
      <c r="G165" s="24" t="b">
        <v>1</v>
      </c>
      <c r="H165" s="30">
        <v>1000000</v>
      </c>
      <c r="I165" s="31">
        <v>1000000</v>
      </c>
      <c r="J165" t="str">
        <f>_xll.BDP($A165&amp;" mtge","MTG WAL","ALLOW_DYNAMIC_CASHFLOW_CALCS ","Y","MTG PREPAY SPEED",D165,"MTG PREPAY TYP",$E165)</f>
        <v>#N/A N/A</v>
      </c>
      <c r="K165" s="2" t="str">
        <f>_xll.BDP($A165&amp;" mtge","MTG_NXT_PAY_DT_SET_DT ")</f>
        <v>7/25/2016</v>
      </c>
      <c r="L165" s="2" t="e">
        <f>MAX(#REF!)</f>
        <v>#REF!</v>
      </c>
      <c r="M165" t="str">
        <f>_xll.BDP(A165&amp;" mtge ISIN","Maturity")</f>
        <v>1/25/2022</v>
      </c>
      <c r="N165" t="e">
        <f t="shared" si="17"/>
        <v>#REF!</v>
      </c>
      <c r="O165" s="15" t="e">
        <f>#REF!+#REF!</f>
        <v>#REF!</v>
      </c>
      <c r="P165" s="22" t="e">
        <f t="shared" si="18"/>
        <v>#REF!</v>
      </c>
      <c r="Q165">
        <f>_xll.BDP(A165&amp;" mtge ISIN",$Q$4)</f>
        <v>1</v>
      </c>
      <c r="R165" t="b">
        <f t="shared" si="19"/>
        <v>0</v>
      </c>
      <c r="S165" s="25"/>
      <c r="T165" s="26" t="str">
        <f t="shared" si="20"/>
        <v>NOT OK</v>
      </c>
      <c r="U165" s="26"/>
      <c r="V165" s="26"/>
      <c r="W165" s="26"/>
      <c r="X165" t="s">
        <v>169</v>
      </c>
      <c r="Y165" t="s">
        <v>169</v>
      </c>
      <c r="Z165" t="s">
        <v>169</v>
      </c>
    </row>
    <row r="166" spans="1:26" ht="13.5" thickBot="1">
      <c r="A166" s="41" t="s">
        <v>281</v>
      </c>
      <c r="B166" s="19" t="str">
        <f>_xll.BDP(A166&amp;" mtge ISIN",$B$4)</f>
        <v>SLMA 2008-3 A2</v>
      </c>
      <c r="C166" s="20">
        <f t="shared" si="21"/>
        <v>1000000</v>
      </c>
      <c r="D166" s="21" t="s">
        <v>25</v>
      </c>
      <c r="E166" s="21" t="s">
        <v>150</v>
      </c>
      <c r="F166" s="23"/>
      <c r="G166" s="24" t="b">
        <v>1</v>
      </c>
      <c r="H166" s="30">
        <v>1000000</v>
      </c>
      <c r="I166" s="31">
        <v>1000000</v>
      </c>
      <c r="J166" t="str">
        <f>_xll.BDP($A166&amp;" mtge","MTG WAL","ALLOW_DYNAMIC_CASHFLOW_CALCS ","Y","MTG PREPAY SPEED",D166,"MTG PREPAY TYP",$E166)</f>
        <v>#N/A N/A</v>
      </c>
      <c r="K166" s="2" t="str">
        <f>_xll.BDP($A166&amp;" mtge","MTG_NXT_PAY_DT_SET_DT ")</f>
        <v>7/25/2016</v>
      </c>
      <c r="L166" s="2" t="e">
        <f>MAX(#REF!)</f>
        <v>#REF!</v>
      </c>
      <c r="M166" t="str">
        <f>_xll.BDP(A166&amp;" mtge ISIN","Maturity")</f>
        <v>1/25/2016</v>
      </c>
      <c r="N166" t="e">
        <f t="shared" si="17"/>
        <v>#REF!</v>
      </c>
      <c r="O166" s="15" t="e">
        <f>#REF!+#REF!</f>
        <v>#REF!</v>
      </c>
      <c r="P166" s="22" t="e">
        <f t="shared" si="18"/>
        <v>#REF!</v>
      </c>
      <c r="Q166">
        <f>_xll.BDP(A166&amp;" mtge ISIN",$Q$4)</f>
        <v>0</v>
      </c>
      <c r="R166" t="b">
        <f t="shared" si="19"/>
        <v>0</v>
      </c>
      <c r="S166" s="25"/>
      <c r="T166" s="26" t="str">
        <f t="shared" si="20"/>
        <v>NOT OK</v>
      </c>
      <c r="U166" s="26"/>
      <c r="V166" s="26"/>
      <c r="W166" s="26"/>
      <c r="X166" s="26"/>
      <c r="Y166" s="16" t="s">
        <v>169</v>
      </c>
      <c r="Z166" s="16" t="s">
        <v>169</v>
      </c>
    </row>
    <row r="167" spans="1:26" ht="13.5" thickBot="1">
      <c r="A167" s="44" t="s">
        <v>282</v>
      </c>
      <c r="B167" s="19" t="str">
        <f>_xll.BDP(A167&amp;" mtge ISIN",$B$4)</f>
        <v>SLCLT 2008-2 A1</v>
      </c>
      <c r="C167" s="20">
        <f t="shared" si="21"/>
        <v>1000000</v>
      </c>
      <c r="D167" s="21" t="s">
        <v>31</v>
      </c>
      <c r="E167" s="21" t="s">
        <v>150</v>
      </c>
      <c r="F167" s="23"/>
      <c r="G167" s="24" t="b">
        <v>1</v>
      </c>
      <c r="H167" s="30">
        <v>1000000</v>
      </c>
      <c r="I167" s="31">
        <v>1000000</v>
      </c>
      <c r="J167" t="str">
        <f>_xll.BDP($A167&amp;" mtge","MTG WAL","ALLOW_DYNAMIC_CASHFLOW_CALCS ","Y","MTG PREPAY SPEED",D167,"MTG PREPAY TYP",$E167)</f>
        <v>#N/A N/A</v>
      </c>
      <c r="K167" s="2" t="str">
        <f>_xll.BDP($A167&amp;" mtge","MTG_NXT_PAY_DT_SET_DT ")</f>
        <v>6/15/2016</v>
      </c>
      <c r="L167" s="2" t="e">
        <f>MAX(#REF!)</f>
        <v>#REF!</v>
      </c>
      <c r="M167" t="str">
        <f>_xll.BDP(A167&amp;" mtge ISIN","Maturity")</f>
        <v>9/15/2014</v>
      </c>
      <c r="N167" t="e">
        <f t="shared" si="17"/>
        <v>#REF!</v>
      </c>
      <c r="O167" s="15" t="e">
        <f>#REF!+#REF!</f>
        <v>#REF!</v>
      </c>
      <c r="P167" s="22" t="e">
        <f t="shared" si="18"/>
        <v>#REF!</v>
      </c>
      <c r="Q167">
        <f>_xll.BDP(A167&amp;" mtge ISIN",$Q$4)</f>
        <v>0</v>
      </c>
      <c r="R167" t="b">
        <f t="shared" si="19"/>
        <v>0</v>
      </c>
      <c r="S167" s="25"/>
      <c r="T167" s="26" t="str">
        <f t="shared" si="20"/>
        <v>NOT OK</v>
      </c>
      <c r="U167" s="26"/>
      <c r="V167" s="26"/>
      <c r="W167" s="26"/>
      <c r="X167" s="56" t="s">
        <v>32</v>
      </c>
      <c r="Y167" t="s">
        <v>168</v>
      </c>
      <c r="Z167" t="s">
        <v>168</v>
      </c>
    </row>
    <row r="168" spans="1:26" ht="13.5" thickBot="1">
      <c r="A168" s="44" t="s">
        <v>283</v>
      </c>
      <c r="B168" s="19" t="str">
        <f>_xll.BDP(A168&amp;" mtge ISIN",$B$4)</f>
        <v>SLCLT 2008-2 A2</v>
      </c>
      <c r="C168" s="20">
        <f t="shared" si="21"/>
        <v>1000000</v>
      </c>
      <c r="D168" s="21">
        <v>0</v>
      </c>
      <c r="E168" s="21" t="s">
        <v>150</v>
      </c>
      <c r="F168" s="23"/>
      <c r="G168" s="24" t="b">
        <v>1</v>
      </c>
      <c r="H168" s="30">
        <v>1000000</v>
      </c>
      <c r="I168" s="31">
        <v>1000000</v>
      </c>
      <c r="J168" t="str">
        <f>_xll.BDP($A168&amp;" mtge","MTG WAL","ALLOW_DYNAMIC_CASHFLOW_CALCS ","Y","MTG PREPAY SPEED",D168,"MTG PREPAY TYP",$E168)</f>
        <v>#N/A N/A</v>
      </c>
      <c r="K168" s="2" t="str">
        <f>_xll.BDP($A168&amp;" mtge","MTG_NXT_PAY_DT_SET_DT ")</f>
        <v>6/15/2016</v>
      </c>
      <c r="L168" s="2" t="e">
        <f>MAX(#REF!)</f>
        <v>#REF!</v>
      </c>
      <c r="M168" t="str">
        <f>_xll.BDP(A168&amp;" mtge ISIN","Maturity")</f>
        <v>6/15/2017</v>
      </c>
      <c r="N168" t="e">
        <f t="shared" si="17"/>
        <v>#REF!</v>
      </c>
      <c r="O168" s="15" t="e">
        <f>#REF!+#REF!</f>
        <v>#REF!</v>
      </c>
      <c r="P168" s="22" t="e">
        <f t="shared" si="18"/>
        <v>#REF!</v>
      </c>
      <c r="Q168">
        <f>_xll.BDP(A168&amp;" mtge ISIN",$Q$4)</f>
        <v>0</v>
      </c>
      <c r="R168" t="b">
        <f t="shared" si="19"/>
        <v>0</v>
      </c>
      <c r="S168" s="25"/>
      <c r="T168" s="26" t="str">
        <f t="shared" si="20"/>
        <v>NOT OK</v>
      </c>
      <c r="U168" s="26"/>
      <c r="V168" s="26"/>
      <c r="W168" s="26"/>
      <c r="X168" s="26"/>
      <c r="Y168" s="16" t="s">
        <v>169</v>
      </c>
      <c r="Z168" s="16" t="s">
        <v>169</v>
      </c>
    </row>
    <row r="169" spans="1:26" ht="13.5" thickBot="1">
      <c r="A169" s="44" t="s">
        <v>284</v>
      </c>
      <c r="B169" s="19" t="str">
        <f>_xll.BDP(A169&amp;" mtge ISIN",$B$4)</f>
        <v>SLCLT 2008-2 A3</v>
      </c>
      <c r="C169" s="20">
        <f t="shared" si="21"/>
        <v>1000000</v>
      </c>
      <c r="D169" s="21">
        <v>0</v>
      </c>
      <c r="E169" s="21" t="s">
        <v>150</v>
      </c>
      <c r="F169" s="23"/>
      <c r="G169" s="24" t="b">
        <v>1</v>
      </c>
      <c r="H169" s="30">
        <v>1000000</v>
      </c>
      <c r="I169" s="31">
        <v>1000000</v>
      </c>
      <c r="J169" t="str">
        <f>_xll.BDP($A169&amp;" mtge","MTG WAL","ALLOW_DYNAMIC_CASHFLOW_CALCS ","Y","MTG PREPAY SPEED",D169,"MTG PREPAY TYP",$E169)</f>
        <v>#N/A N/A</v>
      </c>
      <c r="K169" s="2" t="str">
        <f>_xll.BDP($A169&amp;" mtge","MTG_NXT_PAY_DT_SET_DT ")</f>
        <v>6/15/2016</v>
      </c>
      <c r="L169" s="2" t="e">
        <f>MAX(#REF!)</f>
        <v>#REF!</v>
      </c>
      <c r="M169" t="str">
        <f>_xll.BDP(A169&amp;" mtge ISIN","Maturity")</f>
        <v>9/15/2018</v>
      </c>
      <c r="N169" t="e">
        <f t="shared" si="17"/>
        <v>#REF!</v>
      </c>
      <c r="O169" s="15" t="e">
        <f>#REF!+#REF!</f>
        <v>#REF!</v>
      </c>
      <c r="P169" s="22" t="e">
        <f t="shared" si="18"/>
        <v>#REF!</v>
      </c>
      <c r="Q169">
        <f>_xll.BDP(A169&amp;" mtge ISIN",$Q$4)</f>
        <v>0.57605292990000001</v>
      </c>
      <c r="R169" t="b">
        <f t="shared" si="19"/>
        <v>0</v>
      </c>
      <c r="S169" s="25"/>
      <c r="T169" s="26" t="str">
        <f t="shared" si="20"/>
        <v>NOT OK</v>
      </c>
      <c r="U169" s="26"/>
      <c r="V169" s="26"/>
      <c r="W169" s="26"/>
      <c r="X169" s="26"/>
      <c r="Y169" t="s">
        <v>169</v>
      </c>
      <c r="Z169" t="s">
        <v>169</v>
      </c>
    </row>
    <row r="170" spans="1:26" ht="13.5" thickBot="1">
      <c r="A170" s="44" t="s">
        <v>285</v>
      </c>
      <c r="B170" s="19" t="str">
        <f>_xll.BDP(A170&amp;" mtge ISIN",$B$4)</f>
        <v>SLCLT 2008-2 A4</v>
      </c>
      <c r="C170" s="20">
        <f t="shared" si="21"/>
        <v>1000000</v>
      </c>
      <c r="D170" s="21">
        <v>0</v>
      </c>
      <c r="E170" s="21" t="s">
        <v>150</v>
      </c>
      <c r="F170" s="23"/>
      <c r="G170" s="24" t="b">
        <v>1</v>
      </c>
      <c r="H170" s="30">
        <v>1000000</v>
      </c>
      <c r="I170" s="31">
        <v>1000000</v>
      </c>
      <c r="J170" t="str">
        <f>_xll.BDP($A170&amp;" mtge","MTG WAL","ALLOW_DYNAMIC_CASHFLOW_CALCS ","Y","MTG PREPAY SPEED",D170,"MTG PREPAY TYP",$E170)</f>
        <v>#N/A N/A</v>
      </c>
      <c r="K170" s="2" t="str">
        <f>_xll.BDP($A170&amp;" mtge","MTG_NXT_PAY_DT_SET_DT ")</f>
        <v>6/15/2016</v>
      </c>
      <c r="L170" s="2" t="e">
        <f>MAX(#REF!)</f>
        <v>#REF!</v>
      </c>
      <c r="M170" t="str">
        <f>_xll.BDP(A170&amp;" mtge ISIN","Maturity")</f>
        <v>6/15/2021</v>
      </c>
      <c r="N170" t="e">
        <f t="shared" si="17"/>
        <v>#REF!</v>
      </c>
      <c r="O170" s="15" t="e">
        <f>#REF!+#REF!</f>
        <v>#REF!</v>
      </c>
      <c r="P170" s="22" t="e">
        <f t="shared" si="18"/>
        <v>#REF!</v>
      </c>
      <c r="Q170">
        <f>_xll.BDP(A170&amp;" mtge ISIN",$Q$4)</f>
        <v>1</v>
      </c>
      <c r="R170" t="b">
        <f t="shared" si="19"/>
        <v>0</v>
      </c>
      <c r="S170" s="25"/>
      <c r="T170" s="26" t="str">
        <f t="shared" si="20"/>
        <v>NOT OK</v>
      </c>
      <c r="U170" s="26"/>
      <c r="V170" s="26"/>
      <c r="W170" s="26"/>
      <c r="X170" t="s">
        <v>169</v>
      </c>
      <c r="Y170" t="s">
        <v>169</v>
      </c>
      <c r="Z170" t="s">
        <v>169</v>
      </c>
    </row>
    <row r="171" spans="1:26" ht="13.5" thickBot="1">
      <c r="A171" s="41" t="s">
        <v>0</v>
      </c>
      <c r="B171" s="19" t="str">
        <f>_xll.BDP(A171&amp;" mtge ISIN",$B$4)</f>
        <v>SLMA 2007-8 A4</v>
      </c>
      <c r="C171" s="20">
        <f t="shared" si="21"/>
        <v>1000000</v>
      </c>
      <c r="D171" s="21" t="s">
        <v>18</v>
      </c>
      <c r="E171" s="21" t="s">
        <v>150</v>
      </c>
      <c r="F171" s="23"/>
      <c r="G171" s="24" t="b">
        <v>1</v>
      </c>
      <c r="H171" s="30">
        <v>1000000</v>
      </c>
      <c r="I171" s="31">
        <v>1000000</v>
      </c>
      <c r="J171" t="str">
        <f>_xll.BDP($A171&amp;" mtge","MTG WAL","ALLOW_DYNAMIC_CASHFLOW_CALCS ","Y","MTG PREPAY SPEED",D171,"MTG PREPAY TYP",$E171)</f>
        <v>#N/A N/A</v>
      </c>
      <c r="K171" s="2" t="str">
        <f>_xll.BDP($A171&amp;" mtge","MTG_NXT_PAY_DT_SET_DT ")</f>
        <v>7/25/2016</v>
      </c>
      <c r="L171" s="2" t="e">
        <f>MAX(#REF!)</f>
        <v>#REF!</v>
      </c>
      <c r="M171" t="str">
        <f>_xll.BDP(A171&amp;" mtge ISIN","Maturity")</f>
        <v>1/26/2026</v>
      </c>
      <c r="N171" t="e">
        <f t="shared" si="17"/>
        <v>#REF!</v>
      </c>
      <c r="O171" s="15" t="e">
        <f>#REF!+#REF!</f>
        <v>#REF!</v>
      </c>
      <c r="P171" s="22" t="e">
        <f t="shared" si="18"/>
        <v>#REF!</v>
      </c>
      <c r="Q171">
        <f>_xll.BDP(A171&amp;" mtge ISIN",$Q$4)</f>
        <v>1</v>
      </c>
      <c r="R171" t="b">
        <f t="shared" si="19"/>
        <v>0</v>
      </c>
      <c r="S171" s="25"/>
      <c r="T171" s="26" t="str">
        <f t="shared" si="20"/>
        <v>NOT OK</v>
      </c>
      <c r="U171" s="26"/>
      <c r="V171" s="26"/>
      <c r="W171" s="26"/>
      <c r="X171" s="26"/>
      <c r="Y171" t="s">
        <v>169</v>
      </c>
      <c r="Z171" t="s">
        <v>169</v>
      </c>
    </row>
    <row r="172" spans="1:26" ht="13.5" thickBot="1">
      <c r="A172" s="42" t="s">
        <v>1</v>
      </c>
      <c r="B172" s="19" t="str">
        <f>_xll.BDP(A172&amp;" mtge ISIN",$B$4)</f>
        <v>SLMA 2007-8 A5</v>
      </c>
      <c r="C172" s="20">
        <f t="shared" si="21"/>
        <v>1000000</v>
      </c>
      <c r="D172" s="21" t="s">
        <v>18</v>
      </c>
      <c r="E172" s="21" t="s">
        <v>150</v>
      </c>
      <c r="F172" s="23"/>
      <c r="G172" s="24" t="b">
        <v>1</v>
      </c>
      <c r="H172" s="30">
        <v>1000000</v>
      </c>
      <c r="I172" s="31">
        <v>1000000</v>
      </c>
      <c r="J172" t="str">
        <f>_xll.BDP($A172&amp;" mtge","MTG WAL","ALLOW_DYNAMIC_CASHFLOW_CALCS ","Y","MTG PREPAY SPEED",D172,"MTG PREPAY TYP",$E172)</f>
        <v>#N/A N/A</v>
      </c>
      <c r="K172" s="2" t="str">
        <f>_xll.BDP($A172&amp;" mtge","MTG_NXT_PAY_DT_SET_DT ")</f>
        <v>7/25/2016</v>
      </c>
      <c r="L172" s="2" t="e">
        <f>MAX(#REF!)</f>
        <v>#REF!</v>
      </c>
      <c r="M172" t="str">
        <f>_xll.BDP(A172&amp;" mtge ISIN","Maturity")</f>
        <v>4/27/2043</v>
      </c>
      <c r="N172" t="e">
        <f t="shared" si="17"/>
        <v>#REF!</v>
      </c>
      <c r="O172" s="15" t="e">
        <f>#REF!+#REF!</f>
        <v>#REF!</v>
      </c>
      <c r="P172" s="22" t="e">
        <f t="shared" si="18"/>
        <v>#REF!</v>
      </c>
      <c r="Q172">
        <f>_xll.BDP(A172&amp;" mtge ISIN",$Q$4)</f>
        <v>1</v>
      </c>
      <c r="R172" t="b">
        <f t="shared" si="19"/>
        <v>0</v>
      </c>
      <c r="S172" s="25"/>
      <c r="T172" s="26" t="str">
        <f t="shared" si="20"/>
        <v>NOT OK</v>
      </c>
      <c r="U172" s="26"/>
      <c r="V172" s="26"/>
      <c r="W172" s="26"/>
      <c r="X172" s="26"/>
      <c r="Y172" t="s">
        <v>169</v>
      </c>
      <c r="Z172" t="s">
        <v>169</v>
      </c>
    </row>
    <row r="173" spans="1:26" ht="13.5" thickBot="1">
      <c r="A173" s="41" t="s">
        <v>2</v>
      </c>
      <c r="B173" s="19" t="str">
        <f>_xll.BDP(A173&amp;" mtge ISIN",$B$4)</f>
        <v>SLMA 2008-6 A3</v>
      </c>
      <c r="C173" s="20">
        <f t="shared" si="21"/>
        <v>1000000</v>
      </c>
      <c r="D173" s="21" t="s">
        <v>25</v>
      </c>
      <c r="E173" s="21" t="s">
        <v>150</v>
      </c>
      <c r="F173" s="23"/>
      <c r="G173" s="24" t="b">
        <v>1</v>
      </c>
      <c r="H173" s="30">
        <v>1000000</v>
      </c>
      <c r="I173" s="31">
        <v>1000000</v>
      </c>
      <c r="J173" t="str">
        <f>_xll.BDP($A173&amp;" mtge","MTG WAL","ALLOW_DYNAMIC_CASHFLOW_CALCS ","Y","MTG PREPAY SPEED",D173,"MTG PREPAY TYP",$E173)</f>
        <v>#N/A N/A</v>
      </c>
      <c r="K173" s="2" t="str">
        <f>_xll.BDP($A173&amp;" mtge","MTG_NXT_PAY_DT_SET_DT ")</f>
        <v>7/25/2016</v>
      </c>
      <c r="L173" s="2" t="e">
        <f>MAX(#REF!)</f>
        <v>#REF!</v>
      </c>
      <c r="M173" t="str">
        <f>_xll.BDP(A173&amp;" mtge ISIN","Maturity")</f>
        <v>1/25/2019</v>
      </c>
      <c r="N173" t="e">
        <f t="shared" si="17"/>
        <v>#REF!</v>
      </c>
      <c r="O173" s="15" t="e">
        <f>#REF!+#REF!</f>
        <v>#REF!</v>
      </c>
      <c r="P173" s="22" t="e">
        <f t="shared" si="18"/>
        <v>#REF!</v>
      </c>
      <c r="Q173">
        <f>_xll.BDP(A173&amp;" mtge ISIN",$Q$4)</f>
        <v>0.77128380780000005</v>
      </c>
      <c r="R173" t="b">
        <f t="shared" si="19"/>
        <v>0</v>
      </c>
      <c r="S173" s="25"/>
      <c r="T173" s="26" t="str">
        <f t="shared" si="20"/>
        <v>NOT OK</v>
      </c>
      <c r="U173" s="26"/>
      <c r="V173" s="26"/>
      <c r="W173" s="26"/>
      <c r="X173" s="26"/>
      <c r="Y173" s="16" t="s">
        <v>169</v>
      </c>
      <c r="Z173" s="16" t="s">
        <v>169</v>
      </c>
    </row>
    <row r="174" spans="1:26" ht="13.5" thickBot="1">
      <c r="A174" s="45" t="s">
        <v>3</v>
      </c>
      <c r="B174" s="19" t="str">
        <f>_xll.BDP(A174&amp;" mtge ISIN",$B$4)</f>
        <v>SLMA 2008-6 A4</v>
      </c>
      <c r="C174" s="20">
        <f t="shared" si="21"/>
        <v>1000000</v>
      </c>
      <c r="D174" s="21" t="s">
        <v>25</v>
      </c>
      <c r="E174" s="21" t="s">
        <v>150</v>
      </c>
      <c r="F174" s="23"/>
      <c r="G174" s="24" t="b">
        <v>1</v>
      </c>
      <c r="H174" s="30">
        <v>1000000</v>
      </c>
      <c r="I174" s="31">
        <v>1000000</v>
      </c>
      <c r="J174" t="str">
        <f>_xll.BDP($A174&amp;" mtge","MTG WAL","ALLOW_DYNAMIC_CASHFLOW_CALCS ","Y","MTG PREPAY SPEED",D174,"MTG PREPAY TYP",$E174)</f>
        <v>#N/A N/A</v>
      </c>
      <c r="K174" s="2" t="str">
        <f>_xll.BDP($A174&amp;" mtge","MTG_NXT_PAY_DT_SET_DT ")</f>
        <v>7/25/2016</v>
      </c>
      <c r="L174" s="2" t="e">
        <f>MAX(#REF!)</f>
        <v>#REF!</v>
      </c>
      <c r="M174" t="str">
        <f>_xll.BDP(A174&amp;" mtge ISIN","Maturity")</f>
        <v>7/25/2023</v>
      </c>
      <c r="N174" t="e">
        <f t="shared" si="17"/>
        <v>#REF!</v>
      </c>
      <c r="O174" s="15" t="e">
        <f>#REF!+#REF!</f>
        <v>#REF!</v>
      </c>
      <c r="P174" s="22" t="e">
        <f t="shared" si="18"/>
        <v>#REF!</v>
      </c>
      <c r="Q174">
        <f>_xll.BDP(A174&amp;" mtge ISIN",$Q$4)</f>
        <v>1</v>
      </c>
      <c r="R174" t="b">
        <f t="shared" si="19"/>
        <v>0</v>
      </c>
      <c r="S174" s="25"/>
      <c r="T174" s="26" t="str">
        <f t="shared" si="20"/>
        <v>NOT OK</v>
      </c>
      <c r="U174" s="26"/>
      <c r="V174" s="26"/>
      <c r="W174" s="26"/>
      <c r="X174" s="26"/>
      <c r="Y174" t="s">
        <v>169</v>
      </c>
      <c r="Z174" t="s">
        <v>169</v>
      </c>
    </row>
    <row r="175" spans="1:26" ht="13.5" thickBot="1">
      <c r="A175" s="45" t="s">
        <v>4</v>
      </c>
      <c r="B175" s="19" t="str">
        <f>_xll.BDP(A175&amp;" mtge ISIN",$B$4)</f>
        <v>SLMA 2008-7 A1</v>
      </c>
      <c r="C175" s="20">
        <f t="shared" si="21"/>
        <v>1000000</v>
      </c>
      <c r="D175" s="21" t="s">
        <v>25</v>
      </c>
      <c r="E175" s="21" t="s">
        <v>150</v>
      </c>
      <c r="F175" s="23"/>
      <c r="G175" s="24" t="b">
        <v>1</v>
      </c>
      <c r="H175" s="30">
        <v>1000000</v>
      </c>
      <c r="I175" s="31">
        <v>1000000</v>
      </c>
      <c r="J175" t="str">
        <f>_xll.BDP($A175&amp;" mtge","MTG WAL","ALLOW_DYNAMIC_CASHFLOW_CALCS ","Y","MTG PREPAY SPEED",D175,"MTG PREPAY TYP",$E175)</f>
        <v>#N/A N/A</v>
      </c>
      <c r="K175" s="2" t="str">
        <f>_xll.BDP($A175&amp;" mtge","MTG_NXT_PAY_DT_SET_DT ")</f>
        <v>7/25/2016</v>
      </c>
      <c r="L175" s="2" t="e">
        <f>MAX(#REF!)</f>
        <v>#REF!</v>
      </c>
      <c r="M175" t="str">
        <f>_xll.BDP(A175&amp;" mtge ISIN","Maturity")</f>
        <v>10/27/2014</v>
      </c>
      <c r="N175" t="e">
        <f t="shared" si="17"/>
        <v>#REF!</v>
      </c>
      <c r="O175" s="15" t="e">
        <f>#REF!+#REF!</f>
        <v>#REF!</v>
      </c>
      <c r="P175" s="22" t="e">
        <f t="shared" si="18"/>
        <v>#REF!</v>
      </c>
      <c r="Q175">
        <f>_xll.BDP(A175&amp;" mtge ISIN",$Q$4)</f>
        <v>0</v>
      </c>
      <c r="R175" t="b">
        <f t="shared" si="19"/>
        <v>0</v>
      </c>
      <c r="S175" s="25"/>
      <c r="T175" s="26" t="str">
        <f t="shared" si="20"/>
        <v>NOT OK</v>
      </c>
      <c r="U175" s="26"/>
      <c r="V175" s="26"/>
      <c r="W175" s="26"/>
      <c r="X175" t="s">
        <v>169</v>
      </c>
      <c r="Y175" s="16" t="s">
        <v>169</v>
      </c>
      <c r="Z175" s="16" t="s">
        <v>168</v>
      </c>
    </row>
    <row r="176" spans="1:26" ht="13.5" thickBot="1">
      <c r="A176" s="45" t="s">
        <v>5</v>
      </c>
      <c r="B176" s="19" t="str">
        <f>_xll.BDP(A176&amp;" mtge ISIN",$B$4)</f>
        <v>SLMA 2008-7 A2</v>
      </c>
      <c r="C176" s="20">
        <f t="shared" si="21"/>
        <v>1000000</v>
      </c>
      <c r="D176" s="21" t="s">
        <v>25</v>
      </c>
      <c r="E176" s="21" t="s">
        <v>150</v>
      </c>
      <c r="F176" s="23"/>
      <c r="G176" s="24" t="b">
        <v>1</v>
      </c>
      <c r="H176" s="30">
        <v>1000000</v>
      </c>
      <c r="I176" s="31">
        <v>1000000</v>
      </c>
      <c r="J176" t="str">
        <f>_xll.BDP($A176&amp;" mtge","MTG WAL","ALLOW_DYNAMIC_CASHFLOW_CALCS ","Y","MTG PREPAY SPEED",D176,"MTG PREPAY TYP",$E176)</f>
        <v>#N/A N/A</v>
      </c>
      <c r="K176" s="2" t="str">
        <f>_xll.BDP($A176&amp;" mtge","MTG_NXT_PAY_DT_SET_DT ")</f>
        <v>7/25/2016</v>
      </c>
      <c r="L176" s="2" t="e">
        <f>MAX(#REF!)</f>
        <v>#REF!</v>
      </c>
      <c r="M176" t="str">
        <f>_xll.BDP(A176&amp;" mtge ISIN","Maturity")</f>
        <v>10/25/2017</v>
      </c>
      <c r="N176" t="e">
        <f t="shared" si="17"/>
        <v>#REF!</v>
      </c>
      <c r="O176" s="15" t="e">
        <f>#REF!+#REF!</f>
        <v>#REF!</v>
      </c>
      <c r="P176" s="22" t="e">
        <f t="shared" si="18"/>
        <v>#REF!</v>
      </c>
      <c r="Q176">
        <f>_xll.BDP(A176&amp;" mtge ISIN",$Q$4)</f>
        <v>0</v>
      </c>
      <c r="R176" t="b">
        <f t="shared" si="19"/>
        <v>0</v>
      </c>
      <c r="S176" s="25"/>
      <c r="T176" s="26" t="str">
        <f t="shared" si="20"/>
        <v>NOT OK</v>
      </c>
      <c r="U176" s="26"/>
      <c r="V176" s="26"/>
      <c r="W176" s="26"/>
      <c r="X176" s="26"/>
      <c r="Y176" t="s">
        <v>169</v>
      </c>
      <c r="Z176" t="s">
        <v>169</v>
      </c>
    </row>
    <row r="177" spans="1:26" ht="13.5" thickBot="1">
      <c r="A177" s="45" t="s">
        <v>6</v>
      </c>
      <c r="B177" s="19" t="str">
        <f>_xll.BDP(A177&amp;" mtge ISIN",$B$4)</f>
        <v>SLMA 2008-7 A3</v>
      </c>
      <c r="C177" s="20">
        <f t="shared" si="21"/>
        <v>1000000</v>
      </c>
      <c r="D177" s="21" t="s">
        <v>25</v>
      </c>
      <c r="E177" s="21" t="s">
        <v>150</v>
      </c>
      <c r="F177" s="23"/>
      <c r="G177" s="24" t="b">
        <v>1</v>
      </c>
      <c r="H177" s="30">
        <v>1000000</v>
      </c>
      <c r="I177" s="31">
        <v>1000000</v>
      </c>
      <c r="J177" t="str">
        <f>_xll.BDP($A177&amp;" mtge","MTG WAL","ALLOW_DYNAMIC_CASHFLOW_CALCS ","Y","MTG PREPAY SPEED",D177,"MTG PREPAY TYP",$E177)</f>
        <v>#N/A N/A</v>
      </c>
      <c r="K177" s="2" t="str">
        <f>_xll.BDP($A177&amp;" mtge","MTG_NXT_PAY_DT_SET_DT ")</f>
        <v>7/25/2016</v>
      </c>
      <c r="L177" s="2" t="e">
        <f>MAX(#REF!)</f>
        <v>#REF!</v>
      </c>
      <c r="M177" t="str">
        <f>_xll.BDP(A177&amp;" mtge ISIN","Maturity")</f>
        <v>4/25/2019</v>
      </c>
      <c r="N177" t="e">
        <f t="shared" si="17"/>
        <v>#REF!</v>
      </c>
      <c r="O177" s="15" t="e">
        <f>#REF!+#REF!</f>
        <v>#REF!</v>
      </c>
      <c r="P177" s="22" t="e">
        <f t="shared" si="18"/>
        <v>#REF!</v>
      </c>
      <c r="Q177">
        <f>_xll.BDP(A177&amp;" mtge ISIN",$Q$4)</f>
        <v>0.81668189270000002</v>
      </c>
      <c r="R177" t="b">
        <f t="shared" si="19"/>
        <v>0</v>
      </c>
      <c r="S177" s="25"/>
      <c r="T177" s="26" t="str">
        <f t="shared" si="20"/>
        <v>NOT OK</v>
      </c>
      <c r="U177" s="26"/>
      <c r="V177" s="26"/>
      <c r="W177" s="26"/>
      <c r="X177" s="26"/>
      <c r="Y177" t="s">
        <v>169</v>
      </c>
      <c r="Z177" t="s">
        <v>169</v>
      </c>
    </row>
    <row r="178" spans="1:26" ht="13.5" thickBot="1">
      <c r="A178" s="45" t="s">
        <v>7</v>
      </c>
      <c r="B178" s="19" t="str">
        <f>_xll.BDP(A178&amp;" mtge ISIN",$B$4)</f>
        <v>SLMA 2008-7 A4</v>
      </c>
      <c r="C178" s="20">
        <f t="shared" si="21"/>
        <v>1000000</v>
      </c>
      <c r="D178" s="21" t="s">
        <v>25</v>
      </c>
      <c r="E178" s="21" t="s">
        <v>150</v>
      </c>
      <c r="F178" s="23"/>
      <c r="G178" s="24" t="b">
        <v>1</v>
      </c>
      <c r="H178" s="30">
        <v>1000000</v>
      </c>
      <c r="I178" s="31">
        <v>1000000</v>
      </c>
      <c r="J178" t="str">
        <f>_xll.BDP($A178&amp;" mtge","MTG WAL","ALLOW_DYNAMIC_CASHFLOW_CALCS ","Y","MTG PREPAY SPEED",D178,"MTG PREPAY TYP",$E178)</f>
        <v>#N/A N/A</v>
      </c>
      <c r="K178" s="2" t="str">
        <f>_xll.BDP($A178&amp;" mtge","MTG_NXT_PAY_DT_SET_DT ")</f>
        <v>7/25/2016</v>
      </c>
      <c r="L178" s="2" t="e">
        <f>MAX(#REF!)</f>
        <v>#REF!</v>
      </c>
      <c r="M178" t="str">
        <f>_xll.BDP(A178&amp;" mtge ISIN","Maturity")</f>
        <v>7/25/2023</v>
      </c>
      <c r="N178" t="e">
        <f t="shared" si="17"/>
        <v>#REF!</v>
      </c>
      <c r="O178" s="15" t="e">
        <f>#REF!+#REF!</f>
        <v>#REF!</v>
      </c>
      <c r="P178" s="22" t="e">
        <f t="shared" si="18"/>
        <v>#REF!</v>
      </c>
      <c r="Q178">
        <f>_xll.BDP(A178&amp;" mtge ISIN",$Q$4)</f>
        <v>1</v>
      </c>
      <c r="R178" t="b">
        <f t="shared" si="19"/>
        <v>0</v>
      </c>
      <c r="S178" s="25"/>
      <c r="T178" s="26" t="str">
        <f t="shared" si="20"/>
        <v>NOT OK</v>
      </c>
      <c r="U178" s="26"/>
      <c r="V178" s="26"/>
      <c r="W178" s="26"/>
      <c r="X178" s="26"/>
      <c r="Y178" t="s">
        <v>169</v>
      </c>
      <c r="Z178" t="s">
        <v>169</v>
      </c>
    </row>
    <row r="179" spans="1:26" ht="13.5" thickBot="1">
      <c r="A179" s="45" t="s">
        <v>137</v>
      </c>
      <c r="B179" s="19" t="str">
        <f>_xll.BDP(A179&amp;" mtge ISIN",$B$4)</f>
        <v>SLMA 2006-5 A5</v>
      </c>
      <c r="C179" s="20">
        <f>H179</f>
        <v>1000000</v>
      </c>
      <c r="D179" s="21">
        <v>25</v>
      </c>
      <c r="E179" s="21" t="s">
        <v>152</v>
      </c>
      <c r="F179" s="23" t="b">
        <v>1</v>
      </c>
      <c r="G179" s="24" t="b">
        <v>1</v>
      </c>
      <c r="H179" s="30">
        <v>1000000</v>
      </c>
      <c r="I179" s="31">
        <v>1000000</v>
      </c>
      <c r="J179" t="str">
        <f>_xll.BDP($A179&amp;" mtge","MTG WAL","ALLOW_DYNAMIC_CASHFLOW_CALCS ","Y","MTG PREPAY SPEED",D179,"MTG PREPAY TYP",$E179)</f>
        <v>#N/A N/A</v>
      </c>
      <c r="K179" s="2" t="str">
        <f>_xll.BDP($A179&amp;" mtge","MTG_NXT_PAY_DT_SET_DT ")</f>
        <v>7/25/2016</v>
      </c>
      <c r="L179" s="2" t="e">
        <f>MAX(#REF!)</f>
        <v>#REF!</v>
      </c>
      <c r="M179" t="str">
        <f>_xll.BDP(A179&amp;" mtge ISIN","Maturity")</f>
        <v>1/25/2027</v>
      </c>
      <c r="N179" t="e">
        <f t="shared" si="17"/>
        <v>#REF!</v>
      </c>
      <c r="O179" s="15" t="e">
        <f>#REF!+#REF!</f>
        <v>#REF!</v>
      </c>
      <c r="P179" s="22" t="e">
        <f t="shared" si="18"/>
        <v>#REF!</v>
      </c>
      <c r="Q179">
        <f>_xll.BDP(A179&amp;" mtge ISIN",$Q$4)</f>
        <v>0.92835598149999998</v>
      </c>
      <c r="R179" t="b">
        <f t="shared" si="19"/>
        <v>0</v>
      </c>
      <c r="S179" s="25"/>
      <c r="T179" s="26" t="str">
        <f t="shared" si="20"/>
        <v>NOT OK</v>
      </c>
      <c r="U179" s="26" t="s">
        <v>169</v>
      </c>
      <c r="V179" s="26" t="s">
        <v>169</v>
      </c>
      <c r="W179" s="26" t="s">
        <v>169</v>
      </c>
      <c r="X179" s="26"/>
      <c r="Y179" t="s">
        <v>169</v>
      </c>
      <c r="Z179" t="s">
        <v>169</v>
      </c>
    </row>
    <row r="180" spans="1:26" ht="13.5" thickBot="1">
      <c r="A180" s="45" t="s">
        <v>138</v>
      </c>
      <c r="B180" s="19" t="str">
        <f>_xll.BDP(A180&amp;" mtge ISIN",$B$4)</f>
        <v>SLMA 2006-5 A6A</v>
      </c>
      <c r="C180" s="20">
        <f>I180</f>
        <v>1000000</v>
      </c>
      <c r="D180" s="21">
        <v>25</v>
      </c>
      <c r="E180" s="21" t="s">
        <v>152</v>
      </c>
      <c r="F180" s="23"/>
      <c r="G180" s="24" t="b">
        <v>1</v>
      </c>
      <c r="H180" s="30">
        <v>1000000</v>
      </c>
      <c r="I180" s="31">
        <v>1000000</v>
      </c>
      <c r="J180" t="str">
        <f>_xll.BDP($A180&amp;" mtge","MTG WAL","ALLOW_DYNAMIC_CASHFLOW_CALCS ","Y","MTG PREPAY SPEED",D180,"MTG PREPAY TYP",$E180)</f>
        <v>#N/A N/A</v>
      </c>
      <c r="K180" s="2" t="str">
        <f>_xll.BDP($A180&amp;" mtge","MTG_NXT_PAY_DT_SET_DT ")</f>
        <v>7/25/2016</v>
      </c>
      <c r="L180" s="2" t="e">
        <f>MAX(#REF!)</f>
        <v>#REF!</v>
      </c>
      <c r="M180" t="str">
        <f>_xll.BDP(A180&amp;" mtge ISIN","Maturity")</f>
        <v>10/25/2040</v>
      </c>
      <c r="N180" t="e">
        <f t="shared" si="17"/>
        <v>#REF!</v>
      </c>
      <c r="O180" s="15" t="e">
        <f>#REF!+#REF!</f>
        <v>#REF!</v>
      </c>
      <c r="P180" s="22" t="e">
        <f t="shared" si="18"/>
        <v>#REF!</v>
      </c>
      <c r="Q180">
        <f>_xll.BDP(A180&amp;" mtge ISIN",$Q$4)</f>
        <v>1</v>
      </c>
      <c r="R180" t="b">
        <f t="shared" si="19"/>
        <v>0</v>
      </c>
      <c r="S180" s="25"/>
      <c r="T180" s="26" t="str">
        <f t="shared" si="20"/>
        <v>NOT OK</v>
      </c>
      <c r="U180" s="26"/>
      <c r="V180" s="26"/>
      <c r="W180" s="26"/>
      <c r="X180" s="26"/>
      <c r="Y180" s="16" t="s">
        <v>169</v>
      </c>
      <c r="Z180" s="16" t="s">
        <v>169</v>
      </c>
    </row>
    <row r="181" spans="1:26" ht="13.5" thickBot="1">
      <c r="A181" s="10" t="s">
        <v>139</v>
      </c>
      <c r="B181" s="19" t="str">
        <f>_xll.BDP(A181&amp;" mtge ISIN",$B$4)</f>
        <v>SLMA 2006-6 A3</v>
      </c>
      <c r="C181" s="20">
        <f>H181</f>
        <v>1000000</v>
      </c>
      <c r="D181" s="21">
        <v>25</v>
      </c>
      <c r="E181" s="21" t="s">
        <v>152</v>
      </c>
      <c r="F181" s="23" t="b">
        <v>1</v>
      </c>
      <c r="G181" s="24" t="b">
        <v>1</v>
      </c>
      <c r="H181" s="30">
        <v>1000000</v>
      </c>
      <c r="I181" s="31">
        <v>1000000</v>
      </c>
      <c r="J181" t="str">
        <f>_xll.BDP($A181&amp;" mtge","MTG WAL","ALLOW_DYNAMIC_CASHFLOW_CALCS ","Y","MTG PREPAY SPEED",D181,"MTG PREPAY TYP",$E181)</f>
        <v>#N/A N/A</v>
      </c>
      <c r="K181" s="2" t="str">
        <f>_xll.BDP($A181&amp;" mtge","MTG_NXT_PAY_DT_SET_DT ")</f>
        <v>7/25/2016</v>
      </c>
      <c r="L181" s="2" t="e">
        <f>MAX(#REF!)</f>
        <v>#REF!</v>
      </c>
      <c r="M181" t="str">
        <f>_xll.BDP(A181&amp;" mtge ISIN","Maturity")</f>
        <v>10/27/2025</v>
      </c>
      <c r="N181" t="e">
        <f t="shared" si="17"/>
        <v>#REF!</v>
      </c>
      <c r="O181" s="15" t="e">
        <f>#REF!+#REF!</f>
        <v>#REF!</v>
      </c>
      <c r="P181" s="22" t="e">
        <f t="shared" si="18"/>
        <v>#REF!</v>
      </c>
      <c r="Q181">
        <f>_xll.BDP(A181&amp;" mtge ISIN",$Q$4)</f>
        <v>0.90631677960000001</v>
      </c>
      <c r="R181" t="b">
        <f t="shared" si="19"/>
        <v>0</v>
      </c>
      <c r="S181" s="25"/>
      <c r="T181" s="26" t="str">
        <f t="shared" si="20"/>
        <v>NOT OK</v>
      </c>
      <c r="U181" s="26" t="s">
        <v>169</v>
      </c>
      <c r="V181" s="26" t="s">
        <v>169</v>
      </c>
      <c r="W181" s="26" t="s">
        <v>169</v>
      </c>
      <c r="X181" s="26"/>
      <c r="Y181" t="s">
        <v>169</v>
      </c>
      <c r="Z181" t="s">
        <v>169</v>
      </c>
    </row>
    <row r="182" spans="1:26" ht="13.5" thickBot="1">
      <c r="A182" s="46" t="s">
        <v>8</v>
      </c>
      <c r="B182" s="47" t="str">
        <f>_xll.BDP(A182&amp;" mtge ISIN",$B$4)</f>
        <v>SCSLC 2005 A1</v>
      </c>
      <c r="C182" s="20">
        <f>I182</f>
        <v>1000000</v>
      </c>
      <c r="D182" s="21" t="s">
        <v>18</v>
      </c>
      <c r="E182" s="21" t="s">
        <v>150</v>
      </c>
      <c r="F182" s="23"/>
      <c r="G182" s="24" t="b">
        <v>1</v>
      </c>
      <c r="H182" s="30">
        <v>38100000</v>
      </c>
      <c r="I182" s="31">
        <v>1000000</v>
      </c>
      <c r="J182" t="str">
        <f>_xll.BDP($A182&amp;" mtge","MTG WAL","ALLOW_DYNAMIC_CASHFLOW_CALCS ","Y","MTG PREPAY SPEED",D182,"MTG PREPAY TYP",$E182)</f>
        <v>#N/A N/A</v>
      </c>
      <c r="K182" s="2" t="str">
        <f>_xll.BDP($A182&amp;" mtge","MTG_NXT_PAY_DT_SET_DT ")</f>
        <v>9/1/2016</v>
      </c>
      <c r="L182" s="2" t="e">
        <f>MAX(#REF!)</f>
        <v>#REF!</v>
      </c>
      <c r="M182" t="str">
        <f>_xll.BDP(A182&amp;" mtge ISIN","Maturity")</f>
        <v>12/3/2018</v>
      </c>
      <c r="N182" t="e">
        <f t="shared" si="17"/>
        <v>#REF!</v>
      </c>
      <c r="O182" s="15" t="e">
        <f>#REF!+#REF!</f>
        <v>#REF!</v>
      </c>
      <c r="P182" s="22" t="e">
        <f t="shared" si="18"/>
        <v>#REF!</v>
      </c>
      <c r="Q182">
        <f>_xll.BDP(A182&amp;" mtge ISIN",$Q$4)</f>
        <v>0</v>
      </c>
      <c r="R182" t="b">
        <f t="shared" si="19"/>
        <v>0</v>
      </c>
      <c r="S182" s="25"/>
      <c r="T182" s="26" t="str">
        <f t="shared" si="20"/>
        <v>NOT OK</v>
      </c>
      <c r="U182" s="26"/>
      <c r="V182" s="26"/>
      <c r="W182" s="26"/>
      <c r="X182" s="26"/>
      <c r="Y182" s="16" t="s">
        <v>169</v>
      </c>
      <c r="Z182" s="16" t="s">
        <v>169</v>
      </c>
    </row>
    <row r="183" spans="1:26" ht="13.5" thickBot="1">
      <c r="A183" s="10" t="s">
        <v>9</v>
      </c>
      <c r="B183" s="19" t="str">
        <f>_xll.BDP(A183&amp;" mtge ISIN",$B$4)</f>
        <v>SCSLC 2005 A2</v>
      </c>
      <c r="C183" s="20">
        <f>H183</f>
        <v>1000000</v>
      </c>
      <c r="D183" s="21" t="s">
        <v>18</v>
      </c>
      <c r="E183" s="21" t="s">
        <v>150</v>
      </c>
      <c r="F183" s="23" t="b">
        <v>1</v>
      </c>
      <c r="G183" s="24"/>
      <c r="H183" s="30">
        <v>1000000</v>
      </c>
      <c r="I183" s="31">
        <v>1000000</v>
      </c>
      <c r="J183" t="str">
        <f>_xll.BDP($A183&amp;" mtge","MTG WAL","ALLOW_DYNAMIC_CASHFLOW_CALCS ","Y","MTG PREPAY SPEED",D183,"MTG PREPAY TYP",$E183)</f>
        <v>#N/A N/A</v>
      </c>
      <c r="K183" s="2" t="str">
        <f>_xll.BDP($A183&amp;" mtge","MTG_NXT_PAY_DT_SET_DT ")</f>
        <v>9/1/2016</v>
      </c>
      <c r="L183" s="2" t="e">
        <f>MAX(#REF!)</f>
        <v>#REF!</v>
      </c>
      <c r="M183" t="str">
        <f>_xll.BDP(A183&amp;" mtge ISIN","Maturity")</f>
        <v>12/1/2020</v>
      </c>
      <c r="N183" t="e">
        <f t="shared" si="17"/>
        <v>#REF!</v>
      </c>
      <c r="O183" s="15" t="e">
        <f>#REF!+#REF!</f>
        <v>#REF!</v>
      </c>
      <c r="P183" s="22" t="e">
        <f t="shared" si="18"/>
        <v>#REF!</v>
      </c>
      <c r="Q183">
        <f>_xll.BDP(A183&amp;" mtge ISIN",$Q$4)</f>
        <v>0</v>
      </c>
      <c r="R183" t="b">
        <f t="shared" si="19"/>
        <v>0</v>
      </c>
      <c r="S183" s="25"/>
      <c r="T183" s="26" t="str">
        <f t="shared" si="20"/>
        <v>NOT OK</v>
      </c>
      <c r="U183" s="26" t="s">
        <v>169</v>
      </c>
      <c r="V183" s="26" t="s">
        <v>169</v>
      </c>
      <c r="W183" s="26" t="s">
        <v>169</v>
      </c>
      <c r="X183" s="26"/>
      <c r="Y183" t="e">
        <v>#REF!</v>
      </c>
      <c r="Z183" t="e">
        <v>#REF!</v>
      </c>
    </row>
    <row r="184" spans="1:26" ht="13.5" thickBot="1">
      <c r="A184" s="14" t="s">
        <v>10</v>
      </c>
      <c r="B184" s="19" t="str">
        <f>_xll.BDP(A184&amp;" mtge ISIN",$B$4)</f>
        <v>SCSLC 2006-1 A1</v>
      </c>
      <c r="C184" s="20">
        <f>I184</f>
        <v>1000000</v>
      </c>
      <c r="D184" s="21" t="s">
        <v>18</v>
      </c>
      <c r="E184" s="21" t="s">
        <v>150</v>
      </c>
      <c r="F184" s="23"/>
      <c r="G184" s="24" t="b">
        <v>1</v>
      </c>
      <c r="H184" s="30">
        <v>1000000</v>
      </c>
      <c r="I184" s="31">
        <v>1000000</v>
      </c>
      <c r="J184" t="str">
        <f>_xll.BDP($A184&amp;" mtge","MTG WAL","ALLOW_DYNAMIC_CASHFLOW_CALCS ","Y","MTG PREPAY SPEED",D184,"MTG PREPAY TYP",$E184)</f>
        <v>#N/A N/A</v>
      </c>
      <c r="K184" s="2" t="str">
        <f>_xll.BDP($A184&amp;" mtge","MTG_NXT_PAY_DT_SET_DT ")</f>
        <v>9/1/2016</v>
      </c>
      <c r="L184" s="2" t="e">
        <f>MAX(#REF!)</f>
        <v>#REF!</v>
      </c>
      <c r="M184" t="str">
        <f>_xll.BDP(A184&amp;" mtge ISIN","Maturity")</f>
        <v>12/2/2019</v>
      </c>
      <c r="N184" t="e">
        <f t="shared" si="17"/>
        <v>#REF!</v>
      </c>
      <c r="O184" s="15" t="e">
        <f>#REF!+#REF!</f>
        <v>#REF!</v>
      </c>
      <c r="P184" s="22" t="e">
        <f t="shared" si="18"/>
        <v>#REF!</v>
      </c>
      <c r="Q184">
        <f>_xll.BDP(A184&amp;" mtge ISIN",$Q$4)</f>
        <v>0</v>
      </c>
      <c r="R184" t="b">
        <f t="shared" si="19"/>
        <v>0</v>
      </c>
      <c r="S184" s="25"/>
      <c r="T184" s="26" t="str">
        <f t="shared" si="20"/>
        <v>NOT OK</v>
      </c>
      <c r="U184" s="26"/>
      <c r="V184" s="26"/>
      <c r="W184" s="26"/>
      <c r="X184" s="26"/>
      <c r="Y184" t="s">
        <v>169</v>
      </c>
      <c r="Z184" t="s">
        <v>169</v>
      </c>
    </row>
    <row r="185" spans="1:26" ht="13.5" thickBot="1">
      <c r="A185" s="14" t="s">
        <v>140</v>
      </c>
      <c r="B185" s="19" t="str">
        <f>_xll.BDP(A185&amp;" mtge ISIN",$B$4)</f>
        <v>SCSLC 2006-1 A2</v>
      </c>
      <c r="C185" s="20">
        <f>H185</f>
        <v>1000000</v>
      </c>
      <c r="D185" s="21" t="s">
        <v>18</v>
      </c>
      <c r="E185" s="21" t="s">
        <v>150</v>
      </c>
      <c r="F185" s="23" t="b">
        <v>1</v>
      </c>
      <c r="G185" s="24" t="b">
        <v>1</v>
      </c>
      <c r="H185" s="30">
        <v>1000000</v>
      </c>
      <c r="I185" s="31">
        <v>1000000</v>
      </c>
      <c r="J185" t="str">
        <f>_xll.BDP($A185&amp;" mtge","MTG WAL","ALLOW_DYNAMIC_CASHFLOW_CALCS ","Y","MTG PREPAY SPEED",D185,"MTG PREPAY TYP",$E185)</f>
        <v>#N/A N/A</v>
      </c>
      <c r="K185" s="2" t="str">
        <f>_xll.BDP($A185&amp;" mtge","MTG_NXT_PAY_DT_SET_DT ")</f>
        <v>9/1/2016</v>
      </c>
      <c r="L185" s="2" t="e">
        <f>MAX(#REF!)</f>
        <v>#REF!</v>
      </c>
      <c r="M185" t="str">
        <f>_xll.BDP(A185&amp;" mtge ISIN","Maturity")</f>
        <v>12/1/2022</v>
      </c>
      <c r="N185" t="e">
        <f>(M185-L185)&gt;=0</f>
        <v>#REF!</v>
      </c>
      <c r="O185" s="15" t="e">
        <f>#REF!+#REF!</f>
        <v>#REF!</v>
      </c>
      <c r="P185" s="22" t="e">
        <f>O185/C185</f>
        <v>#REF!</v>
      </c>
      <c r="Q185">
        <f>_xll.BDP(A185&amp;" mtge ISIN",$Q$4)</f>
        <v>0.4537611111</v>
      </c>
      <c r="R185" t="b">
        <f t="shared" si="19"/>
        <v>0</v>
      </c>
      <c r="S185" s="25"/>
      <c r="T185" s="26" t="str">
        <f t="shared" si="20"/>
        <v>NOT OK</v>
      </c>
      <c r="U185" s="26" t="s">
        <v>169</v>
      </c>
      <c r="V185" s="26" t="s">
        <v>169</v>
      </c>
      <c r="W185" s="26" t="s">
        <v>169</v>
      </c>
      <c r="X185" s="26"/>
      <c r="Y185" t="s">
        <v>169</v>
      </c>
      <c r="Z185" t="s">
        <v>169</v>
      </c>
    </row>
    <row r="186" spans="1:26" ht="13.5" thickBot="1">
      <c r="A186" s="10" t="s">
        <v>141</v>
      </c>
      <c r="B186" s="19" t="str">
        <f>_xll.BDP(A186&amp;" mtge ISIN",$B$4)</f>
        <v>STSLT 2006-1A A2</v>
      </c>
      <c r="C186" s="20">
        <f>I186</f>
        <v>1000000</v>
      </c>
      <c r="D186" s="21" t="s">
        <v>18</v>
      </c>
      <c r="E186" s="21" t="s">
        <v>150</v>
      </c>
      <c r="F186" s="23" t="b">
        <v>1</v>
      </c>
      <c r="G186" s="24"/>
      <c r="H186" s="30">
        <v>1000000</v>
      </c>
      <c r="I186" s="31">
        <v>1000000</v>
      </c>
      <c r="J186" t="str">
        <f>_xll.BDP($A186&amp;" mtge","MTG WAL","ALLOW_DYNAMIC_CASHFLOW_CALCS ","Y","MTG PREPAY SPEED",D186,"MTG PREPAY TYP",$E186)</f>
        <v>#N/A N/A</v>
      </c>
      <c r="K186" t="str">
        <f>_xll.BDP($A186&amp;" mtge","MTG_NXT_PAY_DT_SET_DT ")</f>
        <v>7/28/2016</v>
      </c>
      <c r="L186" s="2" t="e">
        <f>MAX(#REF!)</f>
        <v>#REF!</v>
      </c>
      <c r="M186" t="str">
        <f>_xll.BDP(A186&amp;" mtge ISIN","Maturity")</f>
        <v>7/28/2020</v>
      </c>
      <c r="N186" t="e">
        <f t="shared" ref="N186:N208" si="22">(M186-L186)&gt;=0</f>
        <v>#REF!</v>
      </c>
      <c r="O186" s="15" t="e">
        <f>#REF!+#REF!</f>
        <v>#REF!</v>
      </c>
      <c r="P186" s="22" t="e">
        <f t="shared" ref="P186:P208" si="23">O186/C186</f>
        <v>#REF!</v>
      </c>
      <c r="Q186">
        <f>_xll.BDP(A186&amp;" mtge ISIN",$Q$4)</f>
        <v>0</v>
      </c>
      <c r="R186" t="b">
        <f t="shared" ref="R186:R208" si="24">IF(NOT(ISERROR(P186)),IF(P186&gt;0,ABS(P186-Q186)&lt;0.00001))</f>
        <v>0</v>
      </c>
      <c r="S186" s="25"/>
      <c r="T186" s="26" t="str">
        <f t="shared" si="20"/>
        <v>NOT OK</v>
      </c>
      <c r="U186" s="56" t="s">
        <v>32</v>
      </c>
      <c r="V186" s="56" t="s">
        <v>32</v>
      </c>
      <c r="W186" s="56" t="s">
        <v>32</v>
      </c>
      <c r="X186" s="26"/>
      <c r="Y186" t="e">
        <v>#REF!</v>
      </c>
      <c r="Z186" t="e">
        <v>#REF!</v>
      </c>
    </row>
    <row r="187" spans="1:26" ht="13.5" thickBot="1">
      <c r="A187" s="10" t="s">
        <v>142</v>
      </c>
      <c r="B187" s="19" t="str">
        <f>_xll.BDP(A187&amp;" mtge ISIN",$B$4)</f>
        <v>STSLT 2006-1A A3</v>
      </c>
      <c r="C187" s="20">
        <f>H187</f>
        <v>1000000</v>
      </c>
      <c r="D187" s="21" t="s">
        <v>18</v>
      </c>
      <c r="E187" s="21" t="s">
        <v>150</v>
      </c>
      <c r="F187" s="23" t="b">
        <v>1</v>
      </c>
      <c r="G187" s="24"/>
      <c r="H187" s="30">
        <v>1000000</v>
      </c>
      <c r="I187" s="31">
        <v>1000000</v>
      </c>
      <c r="J187" t="str">
        <f>_xll.BDP($A187&amp;" mtge","MTG WAL","ALLOW_DYNAMIC_CASHFLOW_CALCS ","Y","MTG PREPAY SPEED",D187,"MTG PREPAY TYP",$E187)</f>
        <v>#N/A N/A</v>
      </c>
      <c r="K187" t="str">
        <f>_xll.BDP($A187&amp;" mtge","MTG_NXT_PAY_DT_SET_DT ")</f>
        <v>7/28/2016</v>
      </c>
      <c r="L187" s="2" t="e">
        <f>MAX(#REF!)</f>
        <v>#REF!</v>
      </c>
      <c r="M187" t="str">
        <f>_xll.BDP(A187&amp;" mtge ISIN","Maturity")</f>
        <v>1/30/2023</v>
      </c>
      <c r="N187" t="e">
        <f t="shared" si="22"/>
        <v>#REF!</v>
      </c>
      <c r="O187" s="15" t="e">
        <f>#REF!+#REF!</f>
        <v>#REF!</v>
      </c>
      <c r="P187" s="22" t="e">
        <f t="shared" si="23"/>
        <v>#REF!</v>
      </c>
      <c r="Q187">
        <f>_xll.BDP(A187&amp;" mtge ISIN",$Q$4)</f>
        <v>0</v>
      </c>
      <c r="R187" t="b">
        <f t="shared" si="24"/>
        <v>0</v>
      </c>
      <c r="S187" s="25"/>
      <c r="T187" s="26" t="str">
        <f t="shared" si="20"/>
        <v>NOT OK</v>
      </c>
      <c r="U187" s="26" t="s">
        <v>169</v>
      </c>
      <c r="V187" s="26" t="s">
        <v>169</v>
      </c>
      <c r="W187" s="26" t="s">
        <v>169</v>
      </c>
      <c r="X187" s="26"/>
      <c r="Y187" s="16" t="e">
        <v>#REF!</v>
      </c>
      <c r="Z187" s="16" t="e">
        <v>#REF!</v>
      </c>
    </row>
    <row r="188" spans="1:26" ht="13.5" thickBot="1">
      <c r="A188" s="48" t="s">
        <v>11</v>
      </c>
      <c r="B188" s="19" t="str">
        <f>_xll.BDP(A188&amp;" mtge ISIN",$B$4)</f>
        <v>STSLT 2006-1A A4</v>
      </c>
      <c r="C188" s="20">
        <f>I188</f>
        <v>1000000</v>
      </c>
      <c r="D188" s="21" t="s">
        <v>18</v>
      </c>
      <c r="E188" s="21" t="s">
        <v>150</v>
      </c>
      <c r="F188" s="23"/>
      <c r="G188" s="24" t="b">
        <v>1</v>
      </c>
      <c r="H188" s="30">
        <v>1000000</v>
      </c>
      <c r="I188" s="31">
        <v>1000000</v>
      </c>
      <c r="J188" t="str">
        <f>_xll.BDP($A188&amp;" mtge","MTG WAL","ALLOW_DYNAMIC_CASHFLOW_CALCS ","Y","MTG PREPAY SPEED",D188,"MTG PREPAY TYP",$E188)</f>
        <v>#N/A N/A</v>
      </c>
      <c r="K188" t="str">
        <f>_xll.BDP($A188&amp;" mtge","MTG_NXT_PAY_DT_SET_DT ")</f>
        <v>7/28/2016</v>
      </c>
      <c r="L188" s="2" t="e">
        <f>MAX(#REF!)</f>
        <v>#REF!</v>
      </c>
      <c r="M188" t="str">
        <f>_xll.BDP(A188&amp;" mtge ISIN","Maturity")</f>
        <v>10/28/2037</v>
      </c>
      <c r="N188" t="e">
        <f t="shared" si="22"/>
        <v>#REF!</v>
      </c>
      <c r="O188" s="15" t="e">
        <f>#REF!+#REF!</f>
        <v>#REF!</v>
      </c>
      <c r="P188" s="22" t="e">
        <f t="shared" si="23"/>
        <v>#REF!</v>
      </c>
      <c r="Q188">
        <f>_xll.BDP(A188&amp;" mtge ISIN",$Q$4)</f>
        <v>0.98692890680000001</v>
      </c>
      <c r="R188" t="b">
        <f t="shared" si="24"/>
        <v>0</v>
      </c>
      <c r="S188" s="25"/>
      <c r="T188" s="26" t="str">
        <f t="shared" si="20"/>
        <v>NOT OK</v>
      </c>
      <c r="U188" s="26"/>
      <c r="V188" s="26"/>
      <c r="W188" s="26"/>
      <c r="X188" s="26"/>
      <c r="Y188" t="s">
        <v>169</v>
      </c>
      <c r="Z188" t="s">
        <v>169</v>
      </c>
    </row>
    <row r="189" spans="1:26" ht="13.5" thickBot="1">
      <c r="A189" s="10" t="s">
        <v>143</v>
      </c>
      <c r="B189" s="19" t="str">
        <f>_xll.BDP(A189&amp;" mtge ISIN",$B$4)</f>
        <v>USEDU 2006-1 A2</v>
      </c>
      <c r="C189" s="20">
        <f>H189</f>
        <v>1000000</v>
      </c>
      <c r="D189" s="21">
        <v>50</v>
      </c>
      <c r="E189" s="21" t="s">
        <v>153</v>
      </c>
      <c r="F189" s="23" t="b">
        <v>1</v>
      </c>
      <c r="G189" s="24"/>
      <c r="H189" s="30">
        <v>1000000</v>
      </c>
      <c r="I189" s="31">
        <v>1000000</v>
      </c>
      <c r="J189" t="str">
        <f>_xll.BDP($A189&amp;" mtge","MTG WAL","ALLOW_DYNAMIC_CASHFLOW_CALCS ","Y","MTG PREPAY SPEED",D189,"MTG PREPAY TYP",$E189)</f>
        <v>#N/A N/A</v>
      </c>
      <c r="K189" t="str">
        <f>_xll.BDP($A189&amp;" mtge","MTG_NXT_PAY_DT_SET_DT ")</f>
        <v>9/1/2016</v>
      </c>
      <c r="L189" s="2" t="e">
        <f>MAX(#REF!)</f>
        <v>#REF!</v>
      </c>
      <c r="M189" t="str">
        <f>_xll.BDP(A189&amp;" mtge ISIN","Maturity")</f>
        <v>3/1/2025</v>
      </c>
      <c r="N189" t="e">
        <f t="shared" si="22"/>
        <v>#REF!</v>
      </c>
      <c r="O189" s="15" t="e">
        <f>#REF!+#REF!</f>
        <v>#REF!</v>
      </c>
      <c r="P189" s="22" t="e">
        <f t="shared" si="23"/>
        <v>#REF!</v>
      </c>
      <c r="Q189">
        <f>_xll.BDP(A189&amp;" mtge ISIN",$Q$4)</f>
        <v>0</v>
      </c>
      <c r="R189" t="b">
        <f t="shared" si="24"/>
        <v>0</v>
      </c>
      <c r="S189" s="25"/>
      <c r="T189" s="26" t="str">
        <f t="shared" si="20"/>
        <v>NOT OK</v>
      </c>
      <c r="U189" s="26" t="s">
        <v>169</v>
      </c>
      <c r="V189" s="26" t="s">
        <v>169</v>
      </c>
      <c r="W189" s="26" t="s">
        <v>169</v>
      </c>
      <c r="X189" s="26"/>
      <c r="Y189" s="16" t="e">
        <v>#REF!</v>
      </c>
      <c r="Z189" s="16" t="e">
        <v>#REF!</v>
      </c>
    </row>
    <row r="190" spans="1:26" ht="13.5" thickBot="1">
      <c r="A190" s="10" t="s">
        <v>144</v>
      </c>
      <c r="B190" s="19" t="str">
        <f>_xll.BDP(A190&amp;" mtge ISIN",$B$4)</f>
        <v>USEDU 2007-1A 1A4</v>
      </c>
      <c r="C190" s="20">
        <f>H190</f>
        <v>1000000</v>
      </c>
      <c r="D190" s="21">
        <v>50</v>
      </c>
      <c r="E190" s="21" t="s">
        <v>152</v>
      </c>
      <c r="F190" s="23" t="b">
        <v>1</v>
      </c>
      <c r="G190" s="24"/>
      <c r="H190" s="30">
        <v>1000000</v>
      </c>
      <c r="I190" s="31">
        <v>1000000</v>
      </c>
      <c r="J190" t="str">
        <f>_xll.BDP($A190&amp;" mtge","MTG WAL","ALLOW_DYNAMIC_CASHFLOW_CALCS ","Y","MTG PREPAY SPEED",D190,"MTG PREPAY TYP",$E190)</f>
        <v>#N/A N/A</v>
      </c>
      <c r="K190" t="str">
        <f>_xll.BDP($A190&amp;" mtge","MTG_NXT_PAY_DT_SET_DT ")</f>
        <v>7/1/2016</v>
      </c>
      <c r="L190" s="2" t="e">
        <f>MAX(#REF!)</f>
        <v>#REF!</v>
      </c>
      <c r="M190" t="str">
        <f>_xll.BDP(A190&amp;" mtge ISIN","Maturity")</f>
        <v>9/1/2047</v>
      </c>
      <c r="N190" t="e">
        <f t="shared" si="22"/>
        <v>#REF!</v>
      </c>
      <c r="O190" s="15" t="e">
        <f>#REF!+#REF!</f>
        <v>#REF!</v>
      </c>
      <c r="P190" s="22" t="e">
        <f t="shared" si="23"/>
        <v>#REF!</v>
      </c>
      <c r="Q190">
        <f>_xll.BDP(A190&amp;" mtge ISIN",$Q$4)</f>
        <v>0.79599999999999993</v>
      </c>
      <c r="R190" t="b">
        <f t="shared" si="24"/>
        <v>0</v>
      </c>
      <c r="S190" s="25"/>
      <c r="T190" s="26" t="str">
        <f t="shared" si="20"/>
        <v>NOT OK</v>
      </c>
      <c r="U190" s="26" t="s">
        <v>169</v>
      </c>
      <c r="V190" s="26" t="s">
        <v>169</v>
      </c>
      <c r="W190" s="26" t="s">
        <v>169</v>
      </c>
      <c r="X190" s="26"/>
      <c r="Y190" t="e">
        <v>#REF!</v>
      </c>
      <c r="Z190" t="e">
        <v>#REF!</v>
      </c>
    </row>
    <row r="191" spans="1:26" ht="13.5" thickBot="1">
      <c r="A191" s="49" t="s">
        <v>145</v>
      </c>
      <c r="B191" s="19" t="str">
        <f>_xll.BDP(A191&amp;" mtge ISIN",$B$4)</f>
        <v>WSLT 2006-1 A5</v>
      </c>
      <c r="C191" s="20">
        <f>H191</f>
        <v>1000000</v>
      </c>
      <c r="D191" s="21" t="s">
        <v>18</v>
      </c>
      <c r="E191" s="21" t="s">
        <v>150</v>
      </c>
      <c r="F191" s="23" t="b">
        <v>1</v>
      </c>
      <c r="G191" s="24" t="b">
        <v>1</v>
      </c>
      <c r="H191" s="30">
        <v>1000000</v>
      </c>
      <c r="I191" s="31">
        <v>1000000</v>
      </c>
      <c r="J191" t="str">
        <f>_xll.BDP($A191&amp;" mtge","MTG WAL","ALLOW_DYNAMIC_CASHFLOW_CALCS ","Y","MTG PREPAY SPEED",D191,"MTG PREPAY TYP",$E191)</f>
        <v>#N/A N/A</v>
      </c>
      <c r="K191" t="str">
        <f>_xll.BDP($A191&amp;" mtge","MTG_NXT_PAY_DT_SET_DT ")</f>
        <v>7/25/2016</v>
      </c>
      <c r="L191" s="2" t="e">
        <f>MAX(#REF!)</f>
        <v>#REF!</v>
      </c>
      <c r="M191" t="str">
        <f>_xll.BDP(A191&amp;" mtge ISIN","Maturity")</f>
        <v>7/26/2027</v>
      </c>
      <c r="N191" t="e">
        <f t="shared" si="22"/>
        <v>#REF!</v>
      </c>
      <c r="O191" s="15" t="e">
        <f>#REF!+#REF!</f>
        <v>#REF!</v>
      </c>
      <c r="P191" s="22" t="e">
        <f t="shared" si="23"/>
        <v>#REF!</v>
      </c>
      <c r="Q191">
        <f>_xll.BDP(A191&amp;" mtge ISIN",$Q$4)</f>
        <v>0.60830089939999998</v>
      </c>
      <c r="R191" t="b">
        <f t="shared" si="24"/>
        <v>0</v>
      </c>
      <c r="S191" s="25"/>
      <c r="T191" s="26" t="str">
        <f t="shared" si="20"/>
        <v>NOT OK</v>
      </c>
      <c r="U191" s="26" t="s">
        <v>169</v>
      </c>
      <c r="V191" s="26" t="s">
        <v>169</v>
      </c>
      <c r="W191" s="26" t="s">
        <v>169</v>
      </c>
      <c r="X191" s="26"/>
      <c r="Y191" t="s">
        <v>169</v>
      </c>
      <c r="Z191" t="s">
        <v>169</v>
      </c>
    </row>
    <row r="192" spans="1:26" ht="13.5" thickBot="1">
      <c r="A192" s="49" t="s">
        <v>12</v>
      </c>
      <c r="B192" s="19" t="str">
        <f>_xll.BDP(A192&amp;" mtge ISIN",$B$4)</f>
        <v>WSLT 2006-1 A6</v>
      </c>
      <c r="C192" s="20">
        <f>I192</f>
        <v>1000000</v>
      </c>
      <c r="D192" s="21" t="s">
        <v>18</v>
      </c>
      <c r="E192" s="21" t="s">
        <v>150</v>
      </c>
      <c r="F192" s="23"/>
      <c r="G192" s="24" t="b">
        <v>1</v>
      </c>
      <c r="H192" s="30">
        <v>1000000</v>
      </c>
      <c r="I192" s="31">
        <v>1000000</v>
      </c>
      <c r="J192" t="str">
        <f>_xll.BDP($A192&amp;" mtge","MTG WAL","ALLOW_DYNAMIC_CASHFLOW_CALCS ","Y","MTG PREPAY SPEED",D192,"MTG PREPAY TYP",$E192)</f>
        <v>#N/A N/A</v>
      </c>
      <c r="K192" t="str">
        <f>_xll.BDP($A192&amp;" mtge","MTG_NXT_PAY_DT_SET_DT ")</f>
        <v>7/25/2016</v>
      </c>
      <c r="L192" s="2" t="e">
        <f>MAX(#REF!)</f>
        <v>#REF!</v>
      </c>
      <c r="M192" t="str">
        <f>_xll.BDP(A192&amp;" mtge ISIN","Maturity")</f>
        <v>4/25/2040</v>
      </c>
      <c r="N192" t="e">
        <f t="shared" si="22"/>
        <v>#REF!</v>
      </c>
      <c r="O192" s="15" t="e">
        <f>#REF!+#REF!</f>
        <v>#REF!</v>
      </c>
      <c r="P192" s="22" t="e">
        <f t="shared" si="23"/>
        <v>#REF!</v>
      </c>
      <c r="Q192">
        <f>_xll.BDP(A192&amp;" mtge ISIN",$Q$4)</f>
        <v>1</v>
      </c>
      <c r="R192" t="b">
        <f t="shared" si="24"/>
        <v>0</v>
      </c>
      <c r="S192" s="25"/>
      <c r="T192" s="26" t="str">
        <f t="shared" si="20"/>
        <v>NOT OK</v>
      </c>
      <c r="U192" s="26"/>
      <c r="V192" s="26"/>
      <c r="W192" s="26"/>
      <c r="X192" s="26" t="s">
        <v>168</v>
      </c>
      <c r="Y192" t="s">
        <v>168</v>
      </c>
      <c r="Z192" t="s">
        <v>168</v>
      </c>
    </row>
    <row r="193" spans="1:26" ht="13.5" thickBot="1">
      <c r="A193" s="50" t="s">
        <v>13</v>
      </c>
      <c r="B193" s="19" t="str">
        <f>_xll.BDP(A193&amp;" mtge ISIN",$B$4)</f>
        <v>SLMA 2004-2 A5</v>
      </c>
      <c r="C193" s="20">
        <f>H193</f>
        <v>1000000</v>
      </c>
      <c r="D193" s="21">
        <v>25</v>
      </c>
      <c r="E193" s="21" t="s">
        <v>152</v>
      </c>
      <c r="F193" s="23" t="b">
        <v>1</v>
      </c>
      <c r="G193" s="24"/>
      <c r="H193" s="30">
        <v>1000000</v>
      </c>
      <c r="I193" s="31">
        <v>1000000</v>
      </c>
      <c r="J193" t="str">
        <f>_xll.BDP($A193&amp;" mtge","MTG WAL","ALLOW_DYNAMIC_CASHFLOW_CALCS ","Y","MTG PREPAY SPEED",D193,"MTG PREPAY TYP",$E193)</f>
        <v>#N/A N/A</v>
      </c>
      <c r="K193" t="str">
        <f>_xll.BDP($A193&amp;" mtge","MTG_NXT_PAY_DT_SET_DT ")</f>
        <v>7/25/2016</v>
      </c>
      <c r="L193" s="2" t="e">
        <f>MAX(#REF!)</f>
        <v>#REF!</v>
      </c>
      <c r="M193" t="str">
        <f>_xll.BDP(A193&amp;" mtge ISIN","Maturity")</f>
        <v>1/25/2024</v>
      </c>
      <c r="N193" t="e">
        <f t="shared" si="22"/>
        <v>#REF!</v>
      </c>
      <c r="O193" s="15" t="e">
        <f>#REF!+#REF!</f>
        <v>#REF!</v>
      </c>
      <c r="P193" s="22" t="e">
        <f t="shared" si="23"/>
        <v>#REF!</v>
      </c>
      <c r="Q193">
        <f>_xll.BDP(A193&amp;" mtge ISIN",$Q$4)</f>
        <v>0.67904317700000005</v>
      </c>
      <c r="R193" t="b">
        <f t="shared" si="24"/>
        <v>0</v>
      </c>
      <c r="S193" s="25"/>
      <c r="T193" s="26" t="str">
        <f t="shared" si="20"/>
        <v>NOT OK</v>
      </c>
      <c r="U193" s="26" t="s">
        <v>169</v>
      </c>
      <c r="V193" s="26" t="s">
        <v>169</v>
      </c>
      <c r="W193" s="26" t="s">
        <v>169</v>
      </c>
      <c r="X193" s="26"/>
      <c r="Y193" t="e">
        <v>#REF!</v>
      </c>
      <c r="Z193" t="e">
        <v>#REF!</v>
      </c>
    </row>
    <row r="194" spans="1:26" ht="13.5" thickBot="1">
      <c r="A194" s="45" t="s">
        <v>146</v>
      </c>
      <c r="B194" s="19" t="str">
        <f>_xll.BDP(A194&amp;" mtge ISIN",$B$4)</f>
        <v>SLMA 2005-9X A6</v>
      </c>
      <c r="C194" s="20">
        <f>I194</f>
        <v>1000000</v>
      </c>
      <c r="D194" s="21" t="s">
        <v>18</v>
      </c>
      <c r="E194" s="21" t="s">
        <v>150</v>
      </c>
      <c r="F194" s="23"/>
      <c r="G194" s="24" t="b">
        <v>1</v>
      </c>
      <c r="H194" s="30">
        <v>1000000</v>
      </c>
      <c r="I194" s="31">
        <v>1000000</v>
      </c>
      <c r="J194" t="str">
        <f>_xll.BDP($A194&amp;" mtge","MTG WAL","ALLOW_DYNAMIC_CASHFLOW_CALCS ","Y","MTG PREPAY SPEED",D194,"MTG PREPAY TYP",$E194)</f>
        <v>#N/A N/A</v>
      </c>
      <c r="K194" t="str">
        <f>_xll.BDP($A194&amp;" mtge","MTG_NXT_PAY_DT_SET_DT ")</f>
        <v>7/25/2016</v>
      </c>
      <c r="L194" s="2" t="e">
        <f>MAX(#REF!)</f>
        <v>#REF!</v>
      </c>
      <c r="M194" t="str">
        <f>_xll.BDP(A194&amp;" mtge ISIN","Maturity")</f>
        <v>10/26/2026</v>
      </c>
      <c r="N194" t="e">
        <f t="shared" si="22"/>
        <v>#REF!</v>
      </c>
      <c r="O194" s="15" t="e">
        <f>#REF!+#REF!</f>
        <v>#REF!</v>
      </c>
      <c r="P194" s="22" t="e">
        <f t="shared" si="23"/>
        <v>#REF!</v>
      </c>
      <c r="Q194">
        <f>_xll.BDP(A194&amp;" mtge ISIN",$Q$4)</f>
        <v>0</v>
      </c>
      <c r="R194" t="b">
        <f t="shared" si="24"/>
        <v>0</v>
      </c>
      <c r="S194" s="25"/>
      <c r="T194" s="26" t="str">
        <f t="shared" si="20"/>
        <v>NOT OK</v>
      </c>
      <c r="U194" s="26"/>
      <c r="V194" s="26"/>
      <c r="W194" s="26"/>
      <c r="X194" t="s">
        <v>169</v>
      </c>
      <c r="Y194" s="16" t="s">
        <v>169</v>
      </c>
      <c r="Z194" s="16" t="s">
        <v>169</v>
      </c>
    </row>
    <row r="195" spans="1:26" ht="13.5" thickBot="1">
      <c r="A195" s="45" t="s">
        <v>147</v>
      </c>
      <c r="B195" s="19" t="str">
        <f>_xll.BDP(A195&amp;" mtge ISIN",$B$4)</f>
        <v>SLMA 2005-9X A7A</v>
      </c>
      <c r="C195" s="20">
        <f>H195</f>
        <v>1000000</v>
      </c>
      <c r="D195" s="21" t="s">
        <v>18</v>
      </c>
      <c r="E195" s="21" t="s">
        <v>150</v>
      </c>
      <c r="F195" s="23" t="b">
        <v>1</v>
      </c>
      <c r="G195" s="24" t="b">
        <v>1</v>
      </c>
      <c r="H195" s="30">
        <v>1000000</v>
      </c>
      <c r="I195" s="31">
        <v>1000000</v>
      </c>
      <c r="J195">
        <f>_xll.BDP($A195&amp;" mtge","MTG WAL","ALLOW_DYNAMIC_CASHFLOW_CALCS ","Y","MTG PREPAY SPEED",D195,"MTG PREPAY TYP",$E195)</f>
        <v>10.68</v>
      </c>
      <c r="K195" t="str">
        <f>_xll.BDP($A195&amp;" mtge","MTG_NXT_PAY_DT_SET_DT ")</f>
        <v>7/25/2016</v>
      </c>
      <c r="L195" s="2" t="e">
        <f>MAX(#REF!)</f>
        <v>#REF!</v>
      </c>
      <c r="M195" t="str">
        <f>_xll.BDP(A195&amp;" mtge ISIN","Maturity")</f>
        <v>1/25/2041</v>
      </c>
      <c r="N195" t="e">
        <f t="shared" si="22"/>
        <v>#REF!</v>
      </c>
      <c r="O195" s="15" t="e">
        <f>#REF!+#REF!</f>
        <v>#REF!</v>
      </c>
      <c r="P195" s="22" t="e">
        <f t="shared" si="23"/>
        <v>#REF!</v>
      </c>
      <c r="Q195">
        <f>_xll.BDP(A195&amp;" mtge ISIN",$Q$4)</f>
        <v>1</v>
      </c>
      <c r="R195" t="b">
        <f t="shared" si="24"/>
        <v>0</v>
      </c>
      <c r="S195" s="25"/>
      <c r="T195" s="26" t="str">
        <f t="shared" si="20"/>
        <v>NOT OK</v>
      </c>
      <c r="U195" s="26" t="s">
        <v>169</v>
      </c>
      <c r="V195" s="26" t="s">
        <v>169</v>
      </c>
      <c r="W195" s="26" t="s">
        <v>169</v>
      </c>
      <c r="X195" t="s">
        <v>169</v>
      </c>
      <c r="Y195" t="s">
        <v>169</v>
      </c>
      <c r="Z195" t="s">
        <v>169</v>
      </c>
    </row>
    <row r="196" spans="1:26" ht="13.5" thickBot="1">
      <c r="A196" s="51" t="s">
        <v>148</v>
      </c>
      <c r="B196" s="19" t="str">
        <f>_xll.BDP(A196&amp;" mtge ISIN",$B$4)</f>
        <v>NSLT 2006-2 A7</v>
      </c>
      <c r="C196" s="20">
        <f>H196</f>
        <v>1000000</v>
      </c>
      <c r="D196" s="21">
        <v>50</v>
      </c>
      <c r="E196" s="21" t="s">
        <v>152</v>
      </c>
      <c r="F196" s="23" t="b">
        <v>1</v>
      </c>
      <c r="G196" s="24" t="b">
        <v>1</v>
      </c>
      <c r="H196" s="30">
        <v>1000000</v>
      </c>
      <c r="I196" s="31">
        <v>1000000</v>
      </c>
      <c r="J196" t="str">
        <f>_xll.BDP($A196&amp;" mtge","MTG WAL","ALLOW_DYNAMIC_CASHFLOW_CALCS ","Y","MTG PREPAY SPEED",D196,"MTG PREPAY TYP",$E196)</f>
        <v>#N/A N/A</v>
      </c>
      <c r="K196" t="str">
        <f>_xll.BDP($A196&amp;" mtge","MTG_NXT_PAY_DT_SET_DT ")</f>
        <v>7/25/2016</v>
      </c>
      <c r="L196" s="2" t="e">
        <f>MAX(#REF!)</f>
        <v>#REF!</v>
      </c>
      <c r="M196" t="str">
        <f>_xll.BDP(A196&amp;" mtge ISIN","Maturity")</f>
        <v>1/26/2037</v>
      </c>
      <c r="N196" t="e">
        <f t="shared" si="22"/>
        <v>#REF!</v>
      </c>
      <c r="O196" s="15" t="e">
        <f>#REF!+#REF!</f>
        <v>#REF!</v>
      </c>
      <c r="P196" s="22" t="e">
        <f t="shared" si="23"/>
        <v>#REF!</v>
      </c>
      <c r="Q196">
        <f>_xll.BDP(A196&amp;" mtge ISIN",$Q$4)</f>
        <v>1</v>
      </c>
      <c r="R196" t="b">
        <f t="shared" si="24"/>
        <v>0</v>
      </c>
      <c r="S196" s="25"/>
      <c r="T196" s="26" t="str">
        <f t="shared" si="20"/>
        <v>NOT OK</v>
      </c>
      <c r="U196" s="26" t="s">
        <v>169</v>
      </c>
      <c r="V196" s="26" t="s">
        <v>169</v>
      </c>
      <c r="W196" s="26" t="s">
        <v>169</v>
      </c>
      <c r="X196" t="s">
        <v>169</v>
      </c>
      <c r="Y196" s="16" t="s">
        <v>169</v>
      </c>
      <c r="Z196" s="16" t="s">
        <v>169</v>
      </c>
    </row>
    <row r="197" spans="1:26" ht="13.5" thickBot="1">
      <c r="A197" s="49" t="s">
        <v>149</v>
      </c>
      <c r="B197" s="19" t="str">
        <f>_xll.BDP(A197&amp;" mtge ISIN",$B$4)</f>
        <v>GOAL 2006-1 A5</v>
      </c>
      <c r="C197" s="20">
        <f t="shared" ref="C197:C208" si="25">I197</f>
        <v>1000000</v>
      </c>
      <c r="D197" s="21">
        <v>0</v>
      </c>
      <c r="E197" s="21" t="s">
        <v>150</v>
      </c>
      <c r="F197" s="23"/>
      <c r="G197" s="24" t="b">
        <v>1</v>
      </c>
      <c r="H197" s="30">
        <v>1000000</v>
      </c>
      <c r="I197" s="31">
        <v>1000000</v>
      </c>
      <c r="J197" t="str">
        <f>_xll.BDP($A197&amp;" mtge","MTG WAL","ALLOW_DYNAMIC_CASHFLOW_CALCS ","Y","MTG PREPAY SPEED",D197,"MTG PREPAY TYP",$E197)</f>
        <v>#N/A N/A</v>
      </c>
      <c r="K197" t="str">
        <f>_xll.BDP($A197&amp;" mtge","MTG_NXT_PAY_DT_SET_DT ")</f>
        <v>8/25/2016</v>
      </c>
      <c r="L197" s="2" t="e">
        <f>MAX(#REF!)</f>
        <v>#REF!</v>
      </c>
      <c r="M197" t="str">
        <f>_xll.BDP(A197&amp;" mtge ISIN","Maturity")</f>
        <v>5/25/2034</v>
      </c>
      <c r="N197" t="e">
        <f t="shared" si="22"/>
        <v>#REF!</v>
      </c>
      <c r="O197" s="15" t="e">
        <f>#REF!+#REF!</f>
        <v>#REF!</v>
      </c>
      <c r="P197" s="22" t="e">
        <f t="shared" si="23"/>
        <v>#REF!</v>
      </c>
      <c r="Q197">
        <f>_xll.BDP(A197&amp;" mtge ISIN",$Q$4)</f>
        <v>1</v>
      </c>
      <c r="R197" t="b">
        <f t="shared" si="24"/>
        <v>0</v>
      </c>
      <c r="S197" s="25"/>
      <c r="T197" s="26" t="str">
        <f t="shared" si="20"/>
        <v>NOT OK</v>
      </c>
      <c r="U197" s="26"/>
      <c r="V197" s="26"/>
      <c r="W197" s="26"/>
      <c r="X197" t="s">
        <v>169</v>
      </c>
      <c r="Y197" t="s">
        <v>169</v>
      </c>
      <c r="Z197" t="s">
        <v>169</v>
      </c>
    </row>
    <row r="198" spans="1:26" ht="13.5" thickBot="1">
      <c r="A198" s="52" t="s">
        <v>14</v>
      </c>
      <c r="B198" s="19" t="str">
        <f>_xll.BDP(A198&amp;" mtge ISIN",$B$4)</f>
        <v>SLCLT 2008-1X A4B</v>
      </c>
      <c r="C198" s="20">
        <f t="shared" si="25"/>
        <v>1000000</v>
      </c>
      <c r="D198" s="21">
        <v>0</v>
      </c>
      <c r="E198" s="21" t="s">
        <v>150</v>
      </c>
      <c r="F198" s="19"/>
      <c r="G198" s="53" t="b">
        <v>1</v>
      </c>
      <c r="H198" s="54">
        <v>1000000</v>
      </c>
      <c r="I198" s="55">
        <v>1000000</v>
      </c>
      <c r="J198" t="str">
        <f>_xll.BDP($A198&amp;" mtge","MTG WAL","ALLOW_DYNAMIC_CASHFLOW_CALCS ","Y","MTG PREPAY SPEED",D198,"MTG PREPAY TYP",$E198)</f>
        <v>#N/A N/A</v>
      </c>
      <c r="K198" t="str">
        <f>_xll.BDP($A198&amp;" mtge","MTG_NXT_PAY_DT_SET_DT ")</f>
        <v>6/15/2016</v>
      </c>
      <c r="L198" s="2" t="e">
        <f>MAX(#REF!)</f>
        <v>#REF!</v>
      </c>
      <c r="M198" t="str">
        <f>_xll.BDP(A198&amp;" mtge ISIN","Maturity")</f>
        <v>12/15/2032</v>
      </c>
      <c r="N198" t="e">
        <f t="shared" si="22"/>
        <v>#REF!</v>
      </c>
      <c r="O198" s="15" t="e">
        <f>#REF!+#REF!</f>
        <v>#REF!</v>
      </c>
      <c r="P198" s="22" t="e">
        <f t="shared" si="23"/>
        <v>#REF!</v>
      </c>
      <c r="Q198">
        <f>_xll.BDP(A198&amp;" mtge ISIN",$Q$4)</f>
        <v>1</v>
      </c>
      <c r="R198" t="b">
        <f t="shared" si="24"/>
        <v>0</v>
      </c>
      <c r="S198" s="25"/>
      <c r="T198" s="26" t="str">
        <f t="shared" si="20"/>
        <v>NOT OK</v>
      </c>
      <c r="U198" s="26"/>
      <c r="V198" s="26"/>
      <c r="W198" s="26"/>
      <c r="X198" s="56" t="s">
        <v>32</v>
      </c>
      <c r="Y198" t="s">
        <v>168</v>
      </c>
      <c r="Z198" t="s">
        <v>168</v>
      </c>
    </row>
    <row r="199" spans="1:26" ht="13.5" thickBot="1">
      <c r="A199" s="3" t="s">
        <v>15</v>
      </c>
      <c r="B199" s="19" t="str">
        <f>_xll.BDP(A199&amp;" mtge ISIN",$B$4)</f>
        <v>NSLT 2005-4 A4</v>
      </c>
      <c r="C199" s="20">
        <f t="shared" si="25"/>
        <v>1000000</v>
      </c>
      <c r="D199" s="21">
        <v>2</v>
      </c>
      <c r="E199" s="21" t="s">
        <v>150</v>
      </c>
      <c r="F199" s="19"/>
      <c r="G199" s="53" t="b">
        <v>1</v>
      </c>
      <c r="H199" s="54">
        <v>1000000</v>
      </c>
      <c r="I199" s="55">
        <v>1000000</v>
      </c>
      <c r="J199">
        <f>_xll.BDP($A199&amp;" mtge","MTG WAL","ALLOW_DYNAMIC_CASHFLOW_CALCS ","Y","MTG PREPAY SPEED",D199,"MTG PREPAY TYP",$E199)</f>
        <v>8.870000000000001</v>
      </c>
      <c r="K199" t="str">
        <f>_xll.BDP($A199&amp;" mtge","MTG_NXT_PAY_DT_SET_DT ")</f>
        <v>6/22/2016</v>
      </c>
      <c r="L199" s="2" t="e">
        <f>MAX(#REF!)</f>
        <v>#REF!</v>
      </c>
      <c r="M199" t="str">
        <f>_xll.BDP(A199&amp;" mtge ISIN","Maturity")</f>
        <v>3/22/2032</v>
      </c>
      <c r="N199" t="e">
        <f t="shared" si="22"/>
        <v>#REF!</v>
      </c>
      <c r="O199" s="15" t="e">
        <f>#REF!+#REF!</f>
        <v>#REF!</v>
      </c>
      <c r="P199" s="22" t="e">
        <f t="shared" si="23"/>
        <v>#REF!</v>
      </c>
      <c r="Q199">
        <f>_xll.BDP(A199&amp;" mtge ISIN",$Q$4)</f>
        <v>1</v>
      </c>
      <c r="R199" t="b">
        <f t="shared" si="24"/>
        <v>0</v>
      </c>
      <c r="S199" s="25"/>
      <c r="T199" s="26" t="str">
        <f t="shared" ref="T199:T208" si="26">IF(R199,IF(N199,"OK", "NOT OK"),"NOT OK")</f>
        <v>NOT OK</v>
      </c>
      <c r="U199" s="26"/>
      <c r="V199" s="26"/>
      <c r="W199" s="26"/>
      <c r="X199" t="s">
        <v>169</v>
      </c>
      <c r="Y199" t="s">
        <v>169</v>
      </c>
      <c r="Z199" t="s">
        <v>169</v>
      </c>
    </row>
    <row r="200" spans="1:26" ht="13.5" thickBot="1">
      <c r="A200" s="11" t="s">
        <v>16</v>
      </c>
      <c r="B200" s="19" t="str">
        <f>_xll.BDP(A200&amp;" mtge ISIN",$B$4)</f>
        <v>COLLE 2007-1 A14</v>
      </c>
      <c r="C200" s="20">
        <f t="shared" si="25"/>
        <v>1000000</v>
      </c>
      <c r="D200" s="21">
        <v>50</v>
      </c>
      <c r="E200" s="21" t="s">
        <v>152</v>
      </c>
      <c r="G200" t="b">
        <v>1</v>
      </c>
      <c r="H200" s="54">
        <v>1000000</v>
      </c>
      <c r="I200" s="55">
        <v>1000000</v>
      </c>
      <c r="J200" t="str">
        <f>_xll.BDP($A200&amp;" mtge","MTG WAL","ALLOW_DYNAMIC_CASHFLOW_CALCS ","Y","MTG PREPAY SPEED",D200,"MTG PREPAY TYP",$E200)</f>
        <v>#N/A N/A</v>
      </c>
      <c r="K200" t="str">
        <f>_xll.BDP($A200&amp;" mtge","MTG_NXT_PAY_DT_SET_DT ")</f>
        <v>6/27/2016</v>
      </c>
      <c r="L200" s="2" t="e">
        <f>MAX(#REF!)</f>
        <v>#REF!</v>
      </c>
      <c r="M200" t="str">
        <f>_xll.BDP(A200&amp;" mtge ISIN","Maturity")</f>
        <v>1/25/2047</v>
      </c>
      <c r="N200" t="e">
        <f t="shared" si="22"/>
        <v>#REF!</v>
      </c>
      <c r="O200" s="15" t="e">
        <f>#REF!+#REF!</f>
        <v>#REF!</v>
      </c>
      <c r="P200" s="22" t="e">
        <f t="shared" si="23"/>
        <v>#REF!</v>
      </c>
      <c r="Q200">
        <f>_xll.BDP(A200&amp;" mtge ISIN",$Q$4)</f>
        <v>1</v>
      </c>
      <c r="R200" t="b">
        <f t="shared" si="24"/>
        <v>0</v>
      </c>
      <c r="S200" s="25"/>
      <c r="T200" s="26" t="str">
        <f t="shared" si="26"/>
        <v>NOT OK</v>
      </c>
      <c r="U200" s="26"/>
      <c r="V200" s="26"/>
      <c r="W200" s="26"/>
      <c r="X200" s="26"/>
      <c r="Y200" t="s">
        <v>168</v>
      </c>
    </row>
    <row r="201" spans="1:26" ht="13.5" thickBot="1">
      <c r="A201" s="11" t="s">
        <v>17</v>
      </c>
      <c r="B201" s="19" t="str">
        <f>_xll.BDP(A201&amp;" mtge ISIN",$B$4)</f>
        <v>HEF 2005-1 A2</v>
      </c>
      <c r="C201" s="20">
        <f t="shared" si="25"/>
        <v>1000000</v>
      </c>
      <c r="D201" s="21" t="s">
        <v>18</v>
      </c>
      <c r="E201" s="21" t="s">
        <v>150</v>
      </c>
      <c r="G201" t="b">
        <v>1</v>
      </c>
      <c r="H201" s="54">
        <v>1000000</v>
      </c>
      <c r="I201" s="55">
        <v>1000000</v>
      </c>
      <c r="J201" t="str">
        <f>_xll.BDP($A201&amp;" mtge","MTG WAL","ALLOW_DYNAMIC_CASHFLOW_CALCS ","Y","MTG PREPAY SPEED",D201,"MTG PREPAY TYP",$E201)</f>
        <v>#N/A N/A</v>
      </c>
      <c r="K201" t="str">
        <f>_xll.BDP($A201&amp;" mtge","MTG_NXT_PAY_DT_SET_DT ")</f>
        <v>8/25/2016</v>
      </c>
      <c r="L201" s="2" t="e">
        <f>MAX(#REF!)</f>
        <v>#REF!</v>
      </c>
      <c r="M201" t="str">
        <f>_xll.BDP(A201&amp;" mtge ISIN","Maturity")</f>
        <v>2/25/2024</v>
      </c>
      <c r="N201" t="e">
        <f t="shared" si="22"/>
        <v>#REF!</v>
      </c>
      <c r="O201" s="15" t="e">
        <f>#REF!+#REF!</f>
        <v>#REF!</v>
      </c>
      <c r="P201" s="22" t="e">
        <f t="shared" si="23"/>
        <v>#REF!</v>
      </c>
      <c r="Q201">
        <f>_xll.BDP(A201&amp;" mtge ISIN",$Q$4)</f>
        <v>0</v>
      </c>
      <c r="R201" t="b">
        <f t="shared" si="24"/>
        <v>0</v>
      </c>
      <c r="S201" s="25"/>
      <c r="T201" s="26" t="str">
        <f t="shared" si="26"/>
        <v>NOT OK</v>
      </c>
      <c r="U201" s="26"/>
      <c r="V201" s="26"/>
      <c r="W201" s="26"/>
      <c r="X201" s="26"/>
      <c r="Y201" t="s">
        <v>168</v>
      </c>
    </row>
    <row r="202" spans="1:26" ht="13.5" thickBot="1">
      <c r="A202" s="11" t="s">
        <v>19</v>
      </c>
      <c r="B202" s="19" t="str">
        <f>_xll.BDP(A202&amp;" mtge ISIN",$B$4)</f>
        <v>HEF 2005-1 A3</v>
      </c>
      <c r="C202" s="20">
        <f t="shared" si="25"/>
        <v>1000000</v>
      </c>
      <c r="D202" s="21" t="s">
        <v>18</v>
      </c>
      <c r="E202" s="21" t="s">
        <v>150</v>
      </c>
      <c r="G202" t="b">
        <v>1</v>
      </c>
      <c r="H202" s="54">
        <v>1000000</v>
      </c>
      <c r="I202" s="55">
        <v>1000000</v>
      </c>
      <c r="J202" t="str">
        <f>_xll.BDP($A202&amp;" mtge","MTG WAL","ALLOW_DYNAMIC_CASHFLOW_CALCS ","Y","MTG PREPAY SPEED",D202,"MTG PREPAY TYP",$E202)</f>
        <v>#N/A N/A</v>
      </c>
      <c r="K202" t="str">
        <f>_xll.BDP($A202&amp;" mtge","MTG_NXT_PAY_DT_SET_DT ")</f>
        <v>8/25/2016</v>
      </c>
      <c r="L202" s="2" t="e">
        <f>MAX(#REF!)</f>
        <v>#REF!</v>
      </c>
      <c r="M202" t="str">
        <f>_xll.BDP(A202&amp;" mtge ISIN","Maturity")</f>
        <v>2/25/2025</v>
      </c>
      <c r="N202" t="e">
        <f t="shared" si="22"/>
        <v>#REF!</v>
      </c>
      <c r="O202" s="15" t="e">
        <f>#REF!+#REF!</f>
        <v>#REF!</v>
      </c>
      <c r="P202" s="22" t="e">
        <f t="shared" si="23"/>
        <v>#REF!</v>
      </c>
      <c r="Q202">
        <f>_xll.BDP(A202&amp;" mtge ISIN",$Q$4)</f>
        <v>0</v>
      </c>
      <c r="R202" t="b">
        <f t="shared" si="24"/>
        <v>0</v>
      </c>
      <c r="S202" s="25"/>
      <c r="T202" s="26" t="str">
        <f t="shared" si="26"/>
        <v>NOT OK</v>
      </c>
      <c r="U202" s="26"/>
      <c r="V202" s="26"/>
      <c r="W202" s="26"/>
      <c r="X202" s="26"/>
      <c r="Y202" t="s">
        <v>168</v>
      </c>
    </row>
    <row r="203" spans="1:26" ht="13.5" thickBot="1">
      <c r="A203" s="11" t="s">
        <v>20</v>
      </c>
      <c r="B203" s="19" t="str">
        <f>_xll.BDP(A203&amp;" mtge ISIN",$B$4)</f>
        <v>HEF 2005-1 A4</v>
      </c>
      <c r="C203" s="20">
        <f t="shared" si="25"/>
        <v>1000000</v>
      </c>
      <c r="D203" s="21" t="s">
        <v>18</v>
      </c>
      <c r="E203" s="21" t="s">
        <v>150</v>
      </c>
      <c r="G203" t="b">
        <v>1</v>
      </c>
      <c r="H203" s="54">
        <v>1000000</v>
      </c>
      <c r="I203" s="55">
        <v>1000000</v>
      </c>
      <c r="J203" t="str">
        <f>_xll.BDP($A203&amp;" mtge","MTG WAL","ALLOW_DYNAMIC_CASHFLOW_CALCS ","Y","MTG PREPAY SPEED",D203,"MTG PREPAY TYP",$E203)</f>
        <v>#N/A N/A</v>
      </c>
      <c r="K203" t="str">
        <f>_xll.BDP($A203&amp;" mtge","MTG_NXT_PAY_DT_SET_DT ")</f>
        <v>8/25/2016</v>
      </c>
      <c r="L203" s="2" t="e">
        <f>MAX(#REF!)</f>
        <v>#REF!</v>
      </c>
      <c r="M203" t="str">
        <f>_xll.BDP(A203&amp;" mtge ISIN","Maturity")</f>
        <v>2/25/2030</v>
      </c>
      <c r="N203" t="e">
        <f t="shared" si="22"/>
        <v>#REF!</v>
      </c>
      <c r="O203" s="15" t="e">
        <f>#REF!+#REF!</f>
        <v>#REF!</v>
      </c>
      <c r="P203" s="22" t="e">
        <f t="shared" si="23"/>
        <v>#REF!</v>
      </c>
      <c r="Q203">
        <f>_xll.BDP(A203&amp;" mtge ISIN",$Q$4)</f>
        <v>1</v>
      </c>
      <c r="R203" t="b">
        <f t="shared" si="24"/>
        <v>0</v>
      </c>
      <c r="S203" s="25"/>
      <c r="T203" s="26" t="str">
        <f t="shared" si="26"/>
        <v>NOT OK</v>
      </c>
      <c r="U203" s="26"/>
      <c r="V203" s="26"/>
      <c r="W203" s="26"/>
      <c r="X203" s="26"/>
      <c r="Y203" t="s">
        <v>168</v>
      </c>
    </row>
    <row r="204" spans="1:26" ht="13.5" thickBot="1">
      <c r="A204" s="11" t="s">
        <v>21</v>
      </c>
      <c r="B204" s="19" t="str">
        <f>_xll.BDP(A204&amp;" mtge ISIN",$B$4)</f>
        <v>HEF 2005-1 A5</v>
      </c>
      <c r="C204" s="20">
        <f t="shared" si="25"/>
        <v>1000000</v>
      </c>
      <c r="D204" s="21" t="s">
        <v>18</v>
      </c>
      <c r="E204" s="21" t="s">
        <v>150</v>
      </c>
      <c r="G204" t="b">
        <v>1</v>
      </c>
      <c r="H204" s="54">
        <v>1000000</v>
      </c>
      <c r="I204" s="55">
        <v>1000000</v>
      </c>
      <c r="J204" t="str">
        <f>_xll.BDP($A204&amp;" mtge","MTG WAL","ALLOW_DYNAMIC_CASHFLOW_CALCS ","Y","MTG PREPAY SPEED",D204,"MTG PREPAY TYP",$E204)</f>
        <v>#N/A N/A</v>
      </c>
      <c r="K204" t="str">
        <f>_xll.BDP($A204&amp;" mtge","MTG_NXT_PAY_DT_SET_DT ")</f>
        <v>8/25/2016</v>
      </c>
      <c r="L204" s="2" t="e">
        <f>MAX(#REF!)</f>
        <v>#REF!</v>
      </c>
      <c r="M204" t="str">
        <f>_xll.BDP(A204&amp;" mtge ISIN","Maturity")</f>
        <v>2/25/2032</v>
      </c>
      <c r="N204" t="e">
        <f t="shared" si="22"/>
        <v>#REF!</v>
      </c>
      <c r="O204" s="15" t="e">
        <f>#REF!+#REF!</f>
        <v>#REF!</v>
      </c>
      <c r="P204" s="22" t="e">
        <f t="shared" si="23"/>
        <v>#REF!</v>
      </c>
      <c r="Q204">
        <f>_xll.BDP(A204&amp;" mtge ISIN",$Q$4)</f>
        <v>1</v>
      </c>
      <c r="R204" t="b">
        <f t="shared" si="24"/>
        <v>0</v>
      </c>
      <c r="S204" s="25"/>
      <c r="T204" s="26" t="str">
        <f t="shared" si="26"/>
        <v>NOT OK</v>
      </c>
      <c r="U204" s="26"/>
      <c r="V204" s="26"/>
      <c r="W204" s="26"/>
      <c r="X204" s="26"/>
      <c r="Y204" t="s">
        <v>168</v>
      </c>
    </row>
    <row r="205" spans="1:26" ht="13.5" thickBot="1">
      <c r="A205" s="11" t="s">
        <v>22</v>
      </c>
      <c r="B205" s="19" t="str">
        <f>_xll.BDP(A205&amp;" mtge ISIN",$B$4)</f>
        <v>JPMST 2007-A A</v>
      </c>
      <c r="C205" s="20">
        <f t="shared" si="25"/>
        <v>1000000</v>
      </c>
      <c r="D205" s="21">
        <v>0</v>
      </c>
      <c r="E205" s="21" t="s">
        <v>150</v>
      </c>
      <c r="G205" t="b">
        <v>1</v>
      </c>
      <c r="H205" s="54">
        <v>1000000</v>
      </c>
      <c r="I205" s="55">
        <v>1000000</v>
      </c>
      <c r="J205" t="str">
        <f>_xll.BDP($A205&amp;" mtge","MTG WAL","ALLOW_DYNAMIC_CASHFLOW_CALCS ","Y","MTG PREPAY SPEED",D205,"MTG PREPAY TYP",$E205)</f>
        <v>#N/A N/A</v>
      </c>
      <c r="K205" t="str">
        <f>_xll.BDP($A205&amp;" mtge","MTG_NXT_PAY_DT_SET_DT ")</f>
        <v>7/28/2016</v>
      </c>
      <c r="L205" s="2" t="e">
        <f>MAX(#REF!)</f>
        <v>#REF!</v>
      </c>
      <c r="M205" t="str">
        <f>_xll.BDP(A205&amp;" mtge ISIN","Maturity")</f>
        <v>6/28/2038</v>
      </c>
      <c r="N205" t="e">
        <f t="shared" si="22"/>
        <v>#REF!</v>
      </c>
      <c r="O205" s="15" t="e">
        <f>#REF!+#REF!</f>
        <v>#REF!</v>
      </c>
      <c r="P205" s="22" t="e">
        <f t="shared" si="23"/>
        <v>#REF!</v>
      </c>
      <c r="Q205">
        <f>_xll.BDP(A205&amp;" mtge ISIN",$Q$4)</f>
        <v>0.41663784100000001</v>
      </c>
      <c r="R205" t="b">
        <f t="shared" si="24"/>
        <v>0</v>
      </c>
      <c r="S205" s="25"/>
      <c r="T205" s="26" t="str">
        <f t="shared" si="26"/>
        <v>NOT OK</v>
      </c>
      <c r="U205" s="26"/>
      <c r="V205" s="26"/>
      <c r="W205" s="26"/>
      <c r="X205" s="26"/>
      <c r="Y205" t="s">
        <v>168</v>
      </c>
    </row>
    <row r="206" spans="1:26" ht="13.5" thickBot="1">
      <c r="A206" s="11" t="s">
        <v>154</v>
      </c>
      <c r="B206" s="19" t="str">
        <f>_xll.BDP(A206&amp;" mtge ISIN",$B$4)</f>
        <v>NSLT 2005-4 A2</v>
      </c>
      <c r="C206" s="20">
        <f t="shared" si="25"/>
        <v>1000000</v>
      </c>
      <c r="D206" s="21">
        <v>2</v>
      </c>
      <c r="E206" s="21" t="s">
        <v>150</v>
      </c>
      <c r="F206" t="b">
        <v>1</v>
      </c>
      <c r="H206" s="54">
        <v>1000000</v>
      </c>
      <c r="I206" s="55">
        <v>1000000</v>
      </c>
      <c r="J206" t="str">
        <f>_xll.BDP($A206&amp;" mtge","MTG WAL","ALLOW_DYNAMIC_CASHFLOW_CALCS ","Y","MTG PREPAY SPEED",D206,"MTG PREPAY TYP",$E206)</f>
        <v>#N/A N/A</v>
      </c>
      <c r="K206" t="str">
        <f>_xll.BDP($A206&amp;" mtge","MTG_NXT_PAY_DT_SET_DT ")</f>
        <v>6/22/2016</v>
      </c>
      <c r="L206" s="2" t="e">
        <f>MAX(#REF!)</f>
        <v>#REF!</v>
      </c>
      <c r="M206" t="str">
        <f>_xll.BDP(A206&amp;" mtge ISIN","Maturity")</f>
        <v>12/22/2023</v>
      </c>
      <c r="N206" t="e">
        <f t="shared" si="22"/>
        <v>#REF!</v>
      </c>
      <c r="O206" s="15" t="e">
        <f>#REF!+#REF!</f>
        <v>#REF!</v>
      </c>
      <c r="P206" s="22" t="e">
        <f t="shared" si="23"/>
        <v>#REF!</v>
      </c>
      <c r="Q206">
        <f>_xll.BDP(A206&amp;" mtge ISIN",$Q$4)</f>
        <v>0</v>
      </c>
      <c r="R206" t="b">
        <f t="shared" si="24"/>
        <v>0</v>
      </c>
      <c r="S206" s="25"/>
      <c r="T206" s="26" t="str">
        <f t="shared" si="26"/>
        <v>NOT OK</v>
      </c>
      <c r="U206" s="56" t="s">
        <v>32</v>
      </c>
      <c r="V206" s="56" t="s">
        <v>32</v>
      </c>
      <c r="W206" s="56" t="s">
        <v>32</v>
      </c>
      <c r="X206" s="26"/>
      <c r="Y206" t="e">
        <v>#REF!</v>
      </c>
    </row>
    <row r="207" spans="1:26" ht="13.5" thickBot="1">
      <c r="A207" s="11" t="s">
        <v>23</v>
      </c>
      <c r="B207" s="19" t="str">
        <f>_xll.BDP(A207&amp;" mtge ISIN",$B$4)</f>
        <v>NSLT 2007-2X A3L</v>
      </c>
      <c r="C207" s="20">
        <f t="shared" si="25"/>
        <v>1000000</v>
      </c>
      <c r="D207" s="21">
        <v>50</v>
      </c>
      <c r="E207" s="21" t="s">
        <v>152</v>
      </c>
      <c r="G207" t="b">
        <v>1</v>
      </c>
      <c r="H207" s="54">
        <v>1000000</v>
      </c>
      <c r="I207" s="55">
        <v>1000000</v>
      </c>
      <c r="J207">
        <f>_xll.BDP($A207&amp;" mtge","MTG WAL","ALLOW_DYNAMIC_CASHFLOW_CALCS ","Y","MTG PREPAY SPEED",D207,"MTG PREPAY TYP",$E207)</f>
        <v>3.7800000000000002</v>
      </c>
      <c r="K207" t="str">
        <f>_xll.BDP($A207&amp;" mtge","MTG_NXT_PAY_DT_SET_DT ")</f>
        <v>6/27/2016</v>
      </c>
      <c r="L207" s="2" t="e">
        <f>MAX(#REF!)</f>
        <v>#REF!</v>
      </c>
      <c r="M207" t="str">
        <f>_xll.BDP(A207&amp;" mtge ISIN","Maturity")</f>
        <v>3/25/2026</v>
      </c>
      <c r="N207" t="e">
        <f t="shared" si="22"/>
        <v>#REF!</v>
      </c>
      <c r="O207" s="15" t="e">
        <f>#REF!+#REF!</f>
        <v>#REF!</v>
      </c>
      <c r="P207" s="22" t="e">
        <f t="shared" si="23"/>
        <v>#REF!</v>
      </c>
      <c r="Q207">
        <f>_xll.BDP(A207&amp;" mtge ISIN",$Q$4)</f>
        <v>0.75384481211300025</v>
      </c>
      <c r="R207" t="b">
        <f t="shared" si="24"/>
        <v>0</v>
      </c>
      <c r="S207" s="25"/>
      <c r="T207" s="26" t="str">
        <f t="shared" si="26"/>
        <v>NOT OK</v>
      </c>
      <c r="U207" s="26"/>
      <c r="V207" s="26"/>
      <c r="W207" s="26"/>
      <c r="X207" t="s">
        <v>169</v>
      </c>
      <c r="Y207" t="s">
        <v>168</v>
      </c>
    </row>
    <row r="208" spans="1:26">
      <c r="A208" s="11" t="s">
        <v>24</v>
      </c>
      <c r="B208" s="19" t="str">
        <f>_xll.BDP(A208&amp;" mtge ISIN",$B$4)</f>
        <v>STSLT 2006-1X A4</v>
      </c>
      <c r="C208" s="20">
        <f t="shared" si="25"/>
        <v>1000000</v>
      </c>
      <c r="D208" s="21" t="s">
        <v>18</v>
      </c>
      <c r="E208" s="21" t="s">
        <v>150</v>
      </c>
      <c r="G208" t="b">
        <v>1</v>
      </c>
      <c r="H208" s="54">
        <v>1000000</v>
      </c>
      <c r="I208" s="55">
        <v>1000000</v>
      </c>
      <c r="J208" t="str">
        <f>_xll.BDP($A208&amp;" mtge","MTG WAL","MTG PREPAY SPEED",D208,"MTG PREPAY TYP",$E208)</f>
        <v>#N/A N/A</v>
      </c>
      <c r="K208" t="str">
        <f>_xll.BDP($A208&amp;" mtge","MTG_NXT_PAY_DT_SET_DT ")</f>
        <v>7/28/2016</v>
      </c>
      <c r="L208" s="2" t="e">
        <f>MAX(#REF!)</f>
        <v>#REF!</v>
      </c>
      <c r="M208" t="str">
        <f>_xll.BDP(A208&amp;" mtge ISIN","Maturity")</f>
        <v>10/28/2037</v>
      </c>
      <c r="N208" t="e">
        <f t="shared" si="22"/>
        <v>#REF!</v>
      </c>
      <c r="O208" s="15" t="e">
        <f>#REF!+#REF!</f>
        <v>#REF!</v>
      </c>
      <c r="P208" s="22" t="e">
        <f t="shared" si="23"/>
        <v>#REF!</v>
      </c>
      <c r="Q208">
        <f>_xll.BDP(A208&amp;" mtge ISIN",$Q$4)</f>
        <v>0.98692890680000001</v>
      </c>
      <c r="R208" t="b">
        <f t="shared" si="24"/>
        <v>0</v>
      </c>
      <c r="S208" s="25"/>
      <c r="T208" s="26" t="str">
        <f t="shared" si="26"/>
        <v>NOT OK</v>
      </c>
      <c r="U208" s="26"/>
      <c r="V208" s="26"/>
      <c r="W208" s="26"/>
      <c r="X208" t="s">
        <v>169</v>
      </c>
      <c r="Y208" t="s">
        <v>168</v>
      </c>
    </row>
  </sheetData>
  <autoFilter ref="A5:T208"/>
  <dataConsolidate/>
  <mergeCells count="2">
    <mergeCell ref="F4:G4"/>
    <mergeCell ref="H4:I4"/>
  </mergeCells>
  <phoneticPr fontId="22" type="noConversion"/>
  <conditionalFormatting sqref="X207:X208 Y1:Z208 T209:Z65536 X94 X125:X128 X137 X140 X156 X165 X170 X175 X194:X197 X199 W1:X5 V1 V3:V5 T1:U5">
    <cfRule type="cellIs" dxfId="4" priority="1" stopIfTrue="1" operator="equal">
      <formula>"NOT OK"</formula>
    </cfRule>
    <cfRule type="cellIs" dxfId="3" priority="2" stopIfTrue="1" operator="equal">
      <formula>"OK"</formula>
    </cfRule>
  </conditionalFormatting>
  <conditionalFormatting sqref="X198 X200:X206 X6:X93 X129:X136 X138:X139 X141:X155 X157:X164 X95:X124 X171:X174 X176:X193 X166:X169 T6:W208">
    <cfRule type="cellIs" dxfId="2" priority="5" stopIfTrue="1" operator="equal">
      <formula>"NOT OK"</formula>
    </cfRule>
    <cfRule type="cellIs" dxfId="1" priority="6" stopIfTrue="1" operator="equal">
      <formula>"OK"</formula>
    </cfRule>
    <cfRule type="cellIs" dxfId="0" priority="7" stopIfTrue="1" operator="equal">
      <formula>"empty"</formula>
    </cfRule>
  </conditionalFormatting>
  <pageMargins left="0.7" right="0.7" top="0.75" bottom="0.75" header="0.3" footer="0.3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Splash _Sheet</vt:lpstr>
      <vt:lpstr>ISINS_&amp;_SWAPS</vt:lpstr>
      <vt:lpstr>working</vt:lpstr>
      <vt:lpstr>Analysis - ignore</vt:lpstr>
      <vt:lpstr>BOND_CPR_Table</vt:lpstr>
      <vt:lpstr>GNMA_Trade_List</vt:lpstr>
      <vt:lpstr>'ISINS_&amp;_SWAPS'!Print_Area</vt:lpstr>
      <vt:lpstr>today_text</vt:lpstr>
    </vt:vector>
  </TitlesOfParts>
  <Company>Bloomberg L.P.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GNMA Cashflow Modelling</dc:subject>
  <dc:creator>Noel Kennedy</dc:creator>
  <cp:lastModifiedBy>Noel Kennedy</cp:lastModifiedBy>
  <cp:lastPrinted>2010-08-03T14:38:37Z</cp:lastPrinted>
  <dcterms:created xsi:type="dcterms:W3CDTF">2009-05-21T21:18:06Z</dcterms:created>
  <dcterms:modified xsi:type="dcterms:W3CDTF">2016-05-26T10:30:48Z</dcterms:modified>
</cp:coreProperties>
</file>